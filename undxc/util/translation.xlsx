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8d016fa617b223/Ubuntu/dxlog/undxc/util/"/>
    </mc:Choice>
  </mc:AlternateContent>
  <xr:revisionPtr revIDLastSave="68" documentId="8_{F65CF857-8079-4A01-B1E5-E08B15394B26}" xr6:coauthVersionLast="47" xr6:coauthVersionMax="47" xr10:uidLastSave="{AE2C70B7-3DA6-43BB-A989-E19E2AA00760}"/>
  <bookViews>
    <workbookView xWindow="-120" yWindow="-120" windowWidth="29040" windowHeight="15720" xr2:uid="{1D186745-8187-4B5B-B734-1E3D5BBA9BEA}"/>
  </bookViews>
  <sheets>
    <sheet name="Blad1" sheetId="1" r:id="rId1"/>
    <sheet name="Ori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93" i="1" l="1"/>
  <c r="E93" i="1"/>
  <c r="F92" i="1"/>
  <c r="E92" i="1"/>
  <c r="F91" i="1"/>
  <c r="E91" i="1"/>
  <c r="F90" i="1"/>
  <c r="E90" i="1"/>
  <c r="F89" i="1"/>
  <c r="E89" i="1"/>
  <c r="F88" i="1"/>
  <c r="E88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84" i="1"/>
  <c r="E184" i="1"/>
  <c r="F183" i="1"/>
  <c r="E183" i="1"/>
  <c r="F182" i="1"/>
  <c r="E182" i="1"/>
  <c r="F181" i="1"/>
  <c r="E181" i="1"/>
  <c r="F243" i="1"/>
  <c r="E243" i="1"/>
  <c r="F180" i="1"/>
  <c r="E180" i="1"/>
  <c r="F166" i="1"/>
  <c r="E166" i="1"/>
  <c r="F165" i="1"/>
  <c r="E165" i="1"/>
  <c r="F164" i="1"/>
  <c r="E164" i="1"/>
  <c r="F163" i="1"/>
  <c r="E163" i="1"/>
  <c r="F240" i="1"/>
  <c r="E24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2" i="1"/>
  <c r="E162" i="1"/>
  <c r="F161" i="1"/>
  <c r="E161" i="1"/>
  <c r="F160" i="1"/>
  <c r="E160" i="1"/>
  <c r="F159" i="1"/>
  <c r="E159" i="1"/>
  <c r="F158" i="1"/>
  <c r="E158" i="1"/>
  <c r="F167" i="1"/>
  <c r="E167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239" i="1"/>
  <c r="E239" i="1"/>
  <c r="F149" i="1"/>
  <c r="E149" i="1"/>
  <c r="F226" i="1"/>
  <c r="E226" i="1"/>
  <c r="F198" i="1"/>
  <c r="E198" i="1"/>
  <c r="F225" i="1"/>
  <c r="E225" i="1"/>
  <c r="F222" i="1"/>
  <c r="E222" i="1"/>
  <c r="F221" i="1"/>
  <c r="E221" i="1"/>
  <c r="F223" i="1"/>
  <c r="E223" i="1"/>
  <c r="F219" i="1"/>
  <c r="E219" i="1"/>
  <c r="F224" i="1"/>
  <c r="E224" i="1"/>
  <c r="F190" i="1"/>
  <c r="E190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5" i="1"/>
  <c r="E205" i="1"/>
  <c r="F202" i="1"/>
  <c r="E202" i="1"/>
  <c r="F201" i="1"/>
  <c r="E201" i="1"/>
  <c r="F200" i="1"/>
  <c r="E200" i="1"/>
  <c r="F228" i="1"/>
  <c r="E228" i="1"/>
  <c r="F245" i="1"/>
  <c r="E245" i="1"/>
  <c r="F227" i="1"/>
  <c r="E227" i="1"/>
  <c r="F197" i="1"/>
  <c r="E197" i="1"/>
  <c r="F220" i="1"/>
  <c r="E220" i="1"/>
  <c r="F189" i="1"/>
  <c r="E189" i="1"/>
  <c r="F188" i="1"/>
  <c r="E188" i="1"/>
  <c r="F244" i="1"/>
  <c r="E244" i="1"/>
  <c r="F187" i="1"/>
  <c r="E187" i="1"/>
  <c r="F185" i="1"/>
  <c r="E185" i="1"/>
  <c r="F204" i="1"/>
  <c r="E204" i="1"/>
  <c r="F203" i="1"/>
  <c r="E203" i="1"/>
  <c r="F186" i="1"/>
  <c r="E186" i="1"/>
  <c r="F242" i="1"/>
  <c r="E242" i="1"/>
  <c r="F241" i="1"/>
  <c r="E241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206" i="1"/>
  <c r="E206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238" i="1"/>
  <c r="E238" i="1"/>
  <c r="F55" i="1"/>
  <c r="E55" i="1"/>
  <c r="F237" i="1"/>
  <c r="E237" i="1"/>
  <c r="F46" i="1"/>
  <c r="E46" i="1"/>
  <c r="F236" i="1"/>
  <c r="E236" i="1"/>
  <c r="F53" i="1"/>
  <c r="E53" i="1"/>
  <c r="F104" i="1"/>
  <c r="E104" i="1"/>
  <c r="F103" i="1"/>
  <c r="E103" i="1"/>
  <c r="F45" i="1"/>
  <c r="E45" i="1"/>
  <c r="F102" i="1"/>
  <c r="E102" i="1"/>
  <c r="F101" i="1"/>
  <c r="E101" i="1"/>
  <c r="F51" i="1"/>
  <c r="E51" i="1"/>
  <c r="F100" i="1"/>
  <c r="E100" i="1"/>
  <c r="F99" i="1"/>
  <c r="E99" i="1"/>
  <c r="F50" i="1"/>
  <c r="E50" i="1"/>
  <c r="F43" i="1"/>
  <c r="E43" i="1"/>
  <c r="F98" i="1"/>
  <c r="E98" i="1"/>
  <c r="F97" i="1"/>
  <c r="E97" i="1"/>
  <c r="F235" i="1"/>
  <c r="E235" i="1"/>
  <c r="F96" i="1"/>
  <c r="E96" i="1"/>
  <c r="F95" i="1"/>
  <c r="E95" i="1"/>
  <c r="F94" i="1"/>
  <c r="E94" i="1"/>
  <c r="F48" i="1"/>
  <c r="E48" i="1"/>
  <c r="F47" i="1"/>
  <c r="E47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4" i="1"/>
  <c r="E54" i="1"/>
  <c r="F52" i="1"/>
  <c r="E52" i="1"/>
  <c r="F49" i="1"/>
  <c r="E49" i="1"/>
  <c r="F44" i="1"/>
  <c r="E44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N231" i="2" l="1"/>
  <c r="M231" i="2"/>
  <c r="N230" i="2"/>
  <c r="M230" i="2"/>
  <c r="N229" i="2"/>
  <c r="M229" i="2"/>
  <c r="N228" i="2"/>
  <c r="M228" i="2"/>
  <c r="N227" i="2"/>
  <c r="M227" i="2"/>
  <c r="N226" i="2"/>
  <c r="M226" i="2"/>
  <c r="N225" i="2"/>
  <c r="M225" i="2"/>
  <c r="N224" i="2"/>
  <c r="M224" i="2"/>
  <c r="N223" i="2"/>
  <c r="M223" i="2"/>
  <c r="N222" i="2"/>
  <c r="M222" i="2"/>
  <c r="N221" i="2"/>
  <c r="M221" i="2"/>
  <c r="N220" i="2"/>
  <c r="M220" i="2"/>
  <c r="N219" i="2"/>
  <c r="M219" i="2"/>
  <c r="N218" i="2"/>
  <c r="M218" i="2"/>
  <c r="N217" i="2"/>
  <c r="M217" i="2"/>
  <c r="N216" i="2"/>
  <c r="M216" i="2"/>
  <c r="N215" i="2"/>
  <c r="M215" i="2"/>
  <c r="N214" i="2"/>
  <c r="M214" i="2"/>
  <c r="N213" i="2"/>
  <c r="M213" i="2"/>
  <c r="N212" i="2"/>
  <c r="M212" i="2"/>
  <c r="E212" i="2"/>
  <c r="D212" i="2"/>
  <c r="N211" i="2"/>
  <c r="M211" i="2"/>
  <c r="E211" i="2"/>
  <c r="D211" i="2"/>
  <c r="N210" i="2"/>
  <c r="M210" i="2"/>
  <c r="E210" i="2"/>
  <c r="D210" i="2"/>
  <c r="N209" i="2"/>
  <c r="M209" i="2"/>
  <c r="E209" i="2"/>
  <c r="D209" i="2"/>
  <c r="N208" i="2"/>
  <c r="M208" i="2"/>
  <c r="E208" i="2"/>
  <c r="D208" i="2"/>
  <c r="N207" i="2"/>
  <c r="M207" i="2"/>
  <c r="E207" i="2"/>
  <c r="D207" i="2"/>
  <c r="N206" i="2"/>
  <c r="M206" i="2"/>
  <c r="E206" i="2"/>
  <c r="D206" i="2"/>
  <c r="N205" i="2"/>
  <c r="M205" i="2"/>
  <c r="E205" i="2"/>
  <c r="D205" i="2"/>
  <c r="N204" i="2"/>
  <c r="M204" i="2"/>
  <c r="E204" i="2"/>
  <c r="D204" i="2"/>
  <c r="N203" i="2"/>
  <c r="M203" i="2"/>
  <c r="E203" i="2"/>
  <c r="D203" i="2"/>
  <c r="N202" i="2"/>
  <c r="M202" i="2"/>
  <c r="E202" i="2"/>
  <c r="D202" i="2"/>
  <c r="N201" i="2"/>
  <c r="M201" i="2"/>
  <c r="E201" i="2"/>
  <c r="D201" i="2"/>
  <c r="N200" i="2"/>
  <c r="M200" i="2"/>
  <c r="E200" i="2"/>
  <c r="D200" i="2"/>
  <c r="N199" i="2"/>
  <c r="M199" i="2"/>
  <c r="E199" i="2"/>
  <c r="D199" i="2"/>
  <c r="N198" i="2"/>
  <c r="M198" i="2"/>
  <c r="E198" i="2"/>
  <c r="D198" i="2"/>
  <c r="N197" i="2"/>
  <c r="M197" i="2"/>
  <c r="E197" i="2"/>
  <c r="D197" i="2"/>
  <c r="N196" i="2"/>
  <c r="M196" i="2"/>
  <c r="E196" i="2"/>
  <c r="D196" i="2"/>
  <c r="N195" i="2"/>
  <c r="M195" i="2"/>
  <c r="E195" i="2"/>
  <c r="D195" i="2"/>
  <c r="N194" i="2"/>
  <c r="M194" i="2"/>
  <c r="E194" i="2"/>
  <c r="D194" i="2"/>
  <c r="N193" i="2"/>
  <c r="M193" i="2"/>
  <c r="E193" i="2"/>
  <c r="D193" i="2"/>
  <c r="N192" i="2"/>
  <c r="M192" i="2"/>
  <c r="E192" i="2"/>
  <c r="D192" i="2"/>
  <c r="N191" i="2"/>
  <c r="M191" i="2"/>
  <c r="E191" i="2"/>
  <c r="D191" i="2"/>
  <c r="N190" i="2"/>
  <c r="M190" i="2"/>
  <c r="E190" i="2"/>
  <c r="D190" i="2"/>
  <c r="N189" i="2"/>
  <c r="M189" i="2"/>
  <c r="E189" i="2"/>
  <c r="D189" i="2"/>
  <c r="N188" i="2"/>
  <c r="M188" i="2"/>
  <c r="E188" i="2"/>
  <c r="D188" i="2"/>
  <c r="N187" i="2"/>
  <c r="M187" i="2"/>
  <c r="E187" i="2"/>
  <c r="D187" i="2"/>
  <c r="N186" i="2"/>
  <c r="M186" i="2"/>
  <c r="E186" i="2"/>
  <c r="D186" i="2"/>
  <c r="N185" i="2"/>
  <c r="M185" i="2"/>
  <c r="E185" i="2"/>
  <c r="D185" i="2"/>
  <c r="N184" i="2"/>
  <c r="M184" i="2"/>
  <c r="E184" i="2"/>
  <c r="D184" i="2"/>
  <c r="N183" i="2"/>
  <c r="M183" i="2"/>
  <c r="E183" i="2"/>
  <c r="D183" i="2"/>
  <c r="N182" i="2"/>
  <c r="M182" i="2"/>
  <c r="E182" i="2"/>
  <c r="D182" i="2"/>
  <c r="N181" i="2"/>
  <c r="M181" i="2"/>
  <c r="E181" i="2"/>
  <c r="D181" i="2"/>
  <c r="N180" i="2"/>
  <c r="M180" i="2"/>
  <c r="E180" i="2"/>
  <c r="D180" i="2"/>
  <c r="N179" i="2"/>
  <c r="M179" i="2"/>
  <c r="E179" i="2"/>
  <c r="D179" i="2"/>
  <c r="N178" i="2"/>
  <c r="M178" i="2"/>
  <c r="E178" i="2"/>
  <c r="D178" i="2"/>
  <c r="N177" i="2"/>
  <c r="M177" i="2"/>
  <c r="E177" i="2"/>
  <c r="D177" i="2"/>
  <c r="N176" i="2"/>
  <c r="M176" i="2"/>
  <c r="E176" i="2"/>
  <c r="D176" i="2"/>
  <c r="N175" i="2"/>
  <c r="M175" i="2"/>
  <c r="E175" i="2"/>
  <c r="D175" i="2"/>
  <c r="N174" i="2"/>
  <c r="M174" i="2"/>
  <c r="E174" i="2"/>
  <c r="D174" i="2"/>
  <c r="N173" i="2"/>
  <c r="M173" i="2"/>
  <c r="E173" i="2"/>
  <c r="D173" i="2"/>
  <c r="N172" i="2"/>
  <c r="M172" i="2"/>
  <c r="E172" i="2"/>
  <c r="D172" i="2"/>
  <c r="N171" i="2"/>
  <c r="M171" i="2"/>
  <c r="E171" i="2"/>
  <c r="D171" i="2"/>
  <c r="N170" i="2"/>
  <c r="M170" i="2"/>
  <c r="E170" i="2"/>
  <c r="D170" i="2"/>
  <c r="N169" i="2"/>
  <c r="M169" i="2"/>
  <c r="E169" i="2"/>
  <c r="D169" i="2"/>
  <c r="N168" i="2"/>
  <c r="M168" i="2"/>
  <c r="E168" i="2"/>
  <c r="D168" i="2"/>
  <c r="N167" i="2"/>
  <c r="M167" i="2"/>
  <c r="E167" i="2"/>
  <c r="D167" i="2"/>
  <c r="N166" i="2"/>
  <c r="M166" i="2"/>
  <c r="E166" i="2"/>
  <c r="D166" i="2"/>
  <c r="N165" i="2"/>
  <c r="M165" i="2"/>
  <c r="E165" i="2"/>
  <c r="D165" i="2"/>
  <c r="N164" i="2"/>
  <c r="M164" i="2"/>
  <c r="E164" i="2"/>
  <c r="D164" i="2"/>
  <c r="N163" i="2"/>
  <c r="M163" i="2"/>
  <c r="E163" i="2"/>
  <c r="D163" i="2"/>
  <c r="N162" i="2"/>
  <c r="M162" i="2"/>
  <c r="E162" i="2"/>
  <c r="D162" i="2"/>
  <c r="N161" i="2"/>
  <c r="M161" i="2"/>
  <c r="E161" i="2"/>
  <c r="D161" i="2"/>
  <c r="N160" i="2"/>
  <c r="M160" i="2"/>
  <c r="E160" i="2"/>
  <c r="D160" i="2"/>
  <c r="N159" i="2"/>
  <c r="M159" i="2"/>
  <c r="E159" i="2"/>
  <c r="D159" i="2"/>
  <c r="N158" i="2"/>
  <c r="M158" i="2"/>
  <c r="E158" i="2"/>
  <c r="D158" i="2"/>
  <c r="N157" i="2"/>
  <c r="M157" i="2"/>
  <c r="E157" i="2"/>
  <c r="D157" i="2"/>
  <c r="N156" i="2"/>
  <c r="M156" i="2"/>
  <c r="E156" i="2"/>
  <c r="D156" i="2"/>
  <c r="N155" i="2"/>
  <c r="M155" i="2"/>
  <c r="E155" i="2"/>
  <c r="D155" i="2"/>
  <c r="N154" i="2"/>
  <c r="M154" i="2"/>
  <c r="E154" i="2"/>
  <c r="D154" i="2"/>
  <c r="N153" i="2"/>
  <c r="M153" i="2"/>
  <c r="E153" i="2"/>
  <c r="D153" i="2"/>
  <c r="N152" i="2"/>
  <c r="M152" i="2"/>
  <c r="E152" i="2"/>
  <c r="D152" i="2"/>
  <c r="N151" i="2"/>
  <c r="M151" i="2"/>
  <c r="E151" i="2"/>
  <c r="D151" i="2"/>
  <c r="N150" i="2"/>
  <c r="M150" i="2"/>
  <c r="E150" i="2"/>
  <c r="D150" i="2"/>
  <c r="N149" i="2"/>
  <c r="M149" i="2"/>
  <c r="E149" i="2"/>
  <c r="D149" i="2"/>
  <c r="N148" i="2"/>
  <c r="M148" i="2"/>
  <c r="E148" i="2"/>
  <c r="D148" i="2"/>
  <c r="N147" i="2"/>
  <c r="M147" i="2"/>
  <c r="E147" i="2"/>
  <c r="D147" i="2"/>
  <c r="N146" i="2"/>
  <c r="M146" i="2"/>
  <c r="E146" i="2"/>
  <c r="D146" i="2"/>
  <c r="N145" i="2"/>
  <c r="M145" i="2"/>
  <c r="E145" i="2"/>
  <c r="D145" i="2"/>
  <c r="N144" i="2"/>
  <c r="M144" i="2"/>
  <c r="E144" i="2"/>
  <c r="D144" i="2"/>
  <c r="N143" i="2"/>
  <c r="M143" i="2"/>
  <c r="E143" i="2"/>
  <c r="D143" i="2"/>
  <c r="N142" i="2"/>
  <c r="M142" i="2"/>
  <c r="E142" i="2"/>
  <c r="D142" i="2"/>
  <c r="N141" i="2"/>
  <c r="M141" i="2"/>
  <c r="E141" i="2"/>
  <c r="D141" i="2"/>
  <c r="N140" i="2"/>
  <c r="M140" i="2"/>
  <c r="E140" i="2"/>
  <c r="D140" i="2"/>
  <c r="N139" i="2"/>
  <c r="M139" i="2"/>
  <c r="E139" i="2"/>
  <c r="D139" i="2"/>
  <c r="N138" i="2"/>
  <c r="M138" i="2"/>
  <c r="E138" i="2"/>
  <c r="D138" i="2"/>
  <c r="N137" i="2"/>
  <c r="M137" i="2"/>
  <c r="E137" i="2"/>
  <c r="D137" i="2"/>
  <c r="N136" i="2"/>
  <c r="M136" i="2"/>
  <c r="E136" i="2"/>
  <c r="D136" i="2"/>
  <c r="N135" i="2"/>
  <c r="M135" i="2"/>
  <c r="E135" i="2"/>
  <c r="D135" i="2"/>
  <c r="N134" i="2"/>
  <c r="M134" i="2"/>
  <c r="E134" i="2"/>
  <c r="D134" i="2"/>
  <c r="N133" i="2"/>
  <c r="M133" i="2"/>
  <c r="E133" i="2"/>
  <c r="D133" i="2"/>
  <c r="N132" i="2"/>
  <c r="M132" i="2"/>
  <c r="E132" i="2"/>
  <c r="D132" i="2"/>
  <c r="N131" i="2"/>
  <c r="M131" i="2"/>
  <c r="E131" i="2"/>
  <c r="D131" i="2"/>
  <c r="N130" i="2"/>
  <c r="M130" i="2"/>
  <c r="E130" i="2"/>
  <c r="D130" i="2"/>
  <c r="N129" i="2"/>
  <c r="M129" i="2"/>
  <c r="E129" i="2"/>
  <c r="D129" i="2"/>
  <c r="N128" i="2"/>
  <c r="M128" i="2"/>
  <c r="E128" i="2"/>
  <c r="D128" i="2"/>
  <c r="N127" i="2"/>
  <c r="M127" i="2"/>
  <c r="E127" i="2"/>
  <c r="D127" i="2"/>
  <c r="N126" i="2"/>
  <c r="M126" i="2"/>
  <c r="E126" i="2"/>
  <c r="D126" i="2"/>
  <c r="N125" i="2"/>
  <c r="M125" i="2"/>
  <c r="E125" i="2"/>
  <c r="D125" i="2"/>
  <c r="N124" i="2"/>
  <c r="M124" i="2"/>
  <c r="E124" i="2"/>
  <c r="D124" i="2"/>
  <c r="N123" i="2"/>
  <c r="M123" i="2"/>
  <c r="E123" i="2"/>
  <c r="D123" i="2"/>
  <c r="N122" i="2"/>
  <c r="M122" i="2"/>
  <c r="E122" i="2"/>
  <c r="D122" i="2"/>
  <c r="N121" i="2"/>
  <c r="M121" i="2"/>
  <c r="E121" i="2"/>
  <c r="D121" i="2"/>
  <c r="N120" i="2"/>
  <c r="M120" i="2"/>
  <c r="E120" i="2"/>
  <c r="D120" i="2"/>
  <c r="N119" i="2"/>
  <c r="M119" i="2"/>
  <c r="E119" i="2"/>
  <c r="D119" i="2"/>
  <c r="N118" i="2"/>
  <c r="M118" i="2"/>
  <c r="E118" i="2"/>
  <c r="D118" i="2"/>
  <c r="N117" i="2"/>
  <c r="M117" i="2"/>
  <c r="E117" i="2"/>
  <c r="D117" i="2"/>
  <c r="N116" i="2"/>
  <c r="M116" i="2"/>
  <c r="E116" i="2"/>
  <c r="D116" i="2"/>
  <c r="N115" i="2"/>
  <c r="M115" i="2"/>
  <c r="E115" i="2"/>
  <c r="D115" i="2"/>
  <c r="N114" i="2"/>
  <c r="M114" i="2"/>
  <c r="E114" i="2"/>
  <c r="D114" i="2"/>
  <c r="N113" i="2"/>
  <c r="M113" i="2"/>
  <c r="E113" i="2"/>
  <c r="D113" i="2"/>
  <c r="N112" i="2"/>
  <c r="M112" i="2"/>
  <c r="E112" i="2"/>
  <c r="D112" i="2"/>
  <c r="N111" i="2"/>
  <c r="M111" i="2"/>
  <c r="E111" i="2"/>
  <c r="D111" i="2"/>
  <c r="N110" i="2"/>
  <c r="M110" i="2"/>
  <c r="E110" i="2"/>
  <c r="D110" i="2"/>
  <c r="N109" i="2"/>
  <c r="M109" i="2"/>
  <c r="E109" i="2"/>
  <c r="D109" i="2"/>
  <c r="N108" i="2"/>
  <c r="M108" i="2"/>
  <c r="E108" i="2"/>
  <c r="D108" i="2"/>
  <c r="N107" i="2"/>
  <c r="M107" i="2"/>
  <c r="E107" i="2"/>
  <c r="D107" i="2"/>
  <c r="N106" i="2"/>
  <c r="M106" i="2"/>
  <c r="E106" i="2"/>
  <c r="D106" i="2"/>
  <c r="N105" i="2"/>
  <c r="M105" i="2"/>
  <c r="E105" i="2"/>
  <c r="D105" i="2"/>
  <c r="N104" i="2"/>
  <c r="M104" i="2"/>
  <c r="E104" i="2"/>
  <c r="D104" i="2"/>
  <c r="N103" i="2"/>
  <c r="M103" i="2"/>
  <c r="E103" i="2"/>
  <c r="D103" i="2"/>
  <c r="N102" i="2"/>
  <c r="M102" i="2"/>
  <c r="E102" i="2"/>
  <c r="D102" i="2"/>
  <c r="N101" i="2"/>
  <c r="M101" i="2"/>
  <c r="E101" i="2"/>
  <c r="D101" i="2"/>
  <c r="N100" i="2"/>
  <c r="M100" i="2"/>
  <c r="E100" i="2"/>
  <c r="D100" i="2"/>
  <c r="N99" i="2"/>
  <c r="M99" i="2"/>
  <c r="E99" i="2"/>
  <c r="D99" i="2"/>
  <c r="N98" i="2"/>
  <c r="M98" i="2"/>
  <c r="E98" i="2"/>
  <c r="D98" i="2"/>
  <c r="N97" i="2"/>
  <c r="M97" i="2"/>
  <c r="E97" i="2"/>
  <c r="D97" i="2"/>
  <c r="N96" i="2"/>
  <c r="M96" i="2"/>
  <c r="E96" i="2"/>
  <c r="D96" i="2"/>
  <c r="N95" i="2"/>
  <c r="M95" i="2"/>
  <c r="E95" i="2"/>
  <c r="D95" i="2"/>
  <c r="N94" i="2"/>
  <c r="M94" i="2"/>
  <c r="E94" i="2"/>
  <c r="D94" i="2"/>
  <c r="N93" i="2"/>
  <c r="M93" i="2"/>
  <c r="E93" i="2"/>
  <c r="D93" i="2"/>
  <c r="N92" i="2"/>
  <c r="M92" i="2"/>
  <c r="E92" i="2"/>
  <c r="D92" i="2"/>
  <c r="N91" i="2"/>
  <c r="M91" i="2"/>
  <c r="E91" i="2"/>
  <c r="D91" i="2"/>
  <c r="N90" i="2"/>
  <c r="M90" i="2"/>
  <c r="E90" i="2"/>
  <c r="D90" i="2"/>
  <c r="N89" i="2"/>
  <c r="M89" i="2"/>
  <c r="E89" i="2"/>
  <c r="D89" i="2"/>
  <c r="N88" i="2"/>
  <c r="M88" i="2"/>
  <c r="E88" i="2"/>
  <c r="D88" i="2"/>
  <c r="N87" i="2"/>
  <c r="M87" i="2"/>
  <c r="E87" i="2"/>
  <c r="D87" i="2"/>
  <c r="N86" i="2"/>
  <c r="M86" i="2"/>
  <c r="E86" i="2"/>
  <c r="D86" i="2"/>
  <c r="N85" i="2"/>
  <c r="M85" i="2"/>
  <c r="E85" i="2"/>
  <c r="D85" i="2"/>
  <c r="N84" i="2"/>
  <c r="M84" i="2"/>
  <c r="E84" i="2"/>
  <c r="D84" i="2"/>
  <c r="N83" i="2"/>
  <c r="M83" i="2"/>
  <c r="E83" i="2"/>
  <c r="D83" i="2"/>
  <c r="N82" i="2"/>
  <c r="M82" i="2"/>
  <c r="E82" i="2"/>
  <c r="D82" i="2"/>
  <c r="N81" i="2"/>
  <c r="M81" i="2"/>
  <c r="E81" i="2"/>
  <c r="D81" i="2"/>
  <c r="N80" i="2"/>
  <c r="M80" i="2"/>
  <c r="E80" i="2"/>
  <c r="D80" i="2"/>
  <c r="N79" i="2"/>
  <c r="M79" i="2"/>
  <c r="E79" i="2"/>
  <c r="D79" i="2"/>
  <c r="N78" i="2"/>
  <c r="M78" i="2"/>
  <c r="E78" i="2"/>
  <c r="D78" i="2"/>
  <c r="N77" i="2"/>
  <c r="M77" i="2"/>
  <c r="E77" i="2"/>
  <c r="D77" i="2"/>
  <c r="N76" i="2"/>
  <c r="M76" i="2"/>
  <c r="E76" i="2"/>
  <c r="D76" i="2"/>
  <c r="N75" i="2"/>
  <c r="M75" i="2"/>
  <c r="E75" i="2"/>
  <c r="D75" i="2"/>
  <c r="N74" i="2"/>
  <c r="M74" i="2"/>
  <c r="E74" i="2"/>
  <c r="D74" i="2"/>
  <c r="N73" i="2"/>
  <c r="M73" i="2"/>
  <c r="E73" i="2"/>
  <c r="D73" i="2"/>
  <c r="N72" i="2"/>
  <c r="M72" i="2"/>
  <c r="E72" i="2"/>
  <c r="D72" i="2"/>
  <c r="N71" i="2"/>
  <c r="M71" i="2"/>
  <c r="E71" i="2"/>
  <c r="D71" i="2"/>
  <c r="N70" i="2"/>
  <c r="M70" i="2"/>
  <c r="E70" i="2"/>
  <c r="D70" i="2"/>
  <c r="N69" i="2"/>
  <c r="M69" i="2"/>
  <c r="E69" i="2"/>
  <c r="D69" i="2"/>
  <c r="N68" i="2"/>
  <c r="M68" i="2"/>
  <c r="E68" i="2"/>
  <c r="D68" i="2"/>
  <c r="N67" i="2"/>
  <c r="M67" i="2"/>
  <c r="E67" i="2"/>
  <c r="D67" i="2"/>
  <c r="N66" i="2"/>
  <c r="M66" i="2"/>
  <c r="E66" i="2"/>
  <c r="D66" i="2"/>
  <c r="N65" i="2"/>
  <c r="M65" i="2"/>
  <c r="E65" i="2"/>
  <c r="D65" i="2"/>
  <c r="N64" i="2"/>
  <c r="M64" i="2"/>
  <c r="E64" i="2"/>
  <c r="D64" i="2"/>
  <c r="N63" i="2"/>
  <c r="M63" i="2"/>
  <c r="E63" i="2"/>
  <c r="D63" i="2"/>
  <c r="N62" i="2"/>
  <c r="M62" i="2"/>
  <c r="E62" i="2"/>
  <c r="D62" i="2"/>
  <c r="N61" i="2"/>
  <c r="M61" i="2"/>
  <c r="E61" i="2"/>
  <c r="D61" i="2"/>
  <c r="N60" i="2"/>
  <c r="M60" i="2"/>
  <c r="E60" i="2"/>
  <c r="D60" i="2"/>
  <c r="N59" i="2"/>
  <c r="M59" i="2"/>
  <c r="E59" i="2"/>
  <c r="D59" i="2"/>
  <c r="N58" i="2"/>
  <c r="M58" i="2"/>
  <c r="E58" i="2"/>
  <c r="D58" i="2"/>
  <c r="N57" i="2"/>
  <c r="M57" i="2"/>
  <c r="E57" i="2"/>
  <c r="D57" i="2"/>
  <c r="N56" i="2"/>
  <c r="M56" i="2"/>
  <c r="E56" i="2"/>
  <c r="D56" i="2"/>
  <c r="N55" i="2"/>
  <c r="M55" i="2"/>
  <c r="E55" i="2"/>
  <c r="D55" i="2"/>
  <c r="N54" i="2"/>
  <c r="M54" i="2"/>
  <c r="E54" i="2"/>
  <c r="D54" i="2"/>
  <c r="N53" i="2"/>
  <c r="M53" i="2"/>
  <c r="E53" i="2"/>
  <c r="D53" i="2"/>
  <c r="N52" i="2"/>
  <c r="M52" i="2"/>
  <c r="E52" i="2"/>
  <c r="D52" i="2"/>
  <c r="N51" i="2"/>
  <c r="M51" i="2"/>
  <c r="E51" i="2"/>
  <c r="D51" i="2"/>
  <c r="N50" i="2"/>
  <c r="M50" i="2"/>
  <c r="E50" i="2"/>
  <c r="D50" i="2"/>
  <c r="N49" i="2"/>
  <c r="M49" i="2"/>
  <c r="E49" i="2"/>
  <c r="D49" i="2"/>
  <c r="N48" i="2"/>
  <c r="M48" i="2"/>
  <c r="E48" i="2"/>
  <c r="D48" i="2"/>
  <c r="N47" i="2"/>
  <c r="M47" i="2"/>
  <c r="E47" i="2"/>
  <c r="D47" i="2"/>
  <c r="N46" i="2"/>
  <c r="M46" i="2"/>
  <c r="E46" i="2"/>
  <c r="D46" i="2"/>
  <c r="N45" i="2"/>
  <c r="M45" i="2"/>
  <c r="E45" i="2"/>
  <c r="D45" i="2"/>
  <c r="N44" i="2"/>
  <c r="M44" i="2"/>
  <c r="E44" i="2"/>
  <c r="D44" i="2"/>
  <c r="N43" i="2"/>
  <c r="M43" i="2"/>
  <c r="E43" i="2"/>
  <c r="D43" i="2"/>
  <c r="N42" i="2"/>
  <c r="M42" i="2"/>
  <c r="E42" i="2"/>
  <c r="D42" i="2"/>
  <c r="N41" i="2"/>
  <c r="M41" i="2"/>
  <c r="E41" i="2"/>
  <c r="D41" i="2"/>
  <c r="N40" i="2"/>
  <c r="M40" i="2"/>
  <c r="E40" i="2"/>
  <c r="D40" i="2"/>
  <c r="N39" i="2"/>
  <c r="M39" i="2"/>
  <c r="E39" i="2"/>
  <c r="D39" i="2"/>
  <c r="N38" i="2"/>
  <c r="M38" i="2"/>
  <c r="E38" i="2"/>
  <c r="D38" i="2"/>
  <c r="N37" i="2"/>
  <c r="M37" i="2"/>
  <c r="E37" i="2"/>
  <c r="D37" i="2"/>
  <c r="N36" i="2"/>
  <c r="M36" i="2"/>
  <c r="E36" i="2"/>
  <c r="D36" i="2"/>
  <c r="N35" i="2"/>
  <c r="M35" i="2"/>
  <c r="E35" i="2"/>
  <c r="D35" i="2"/>
  <c r="N34" i="2"/>
  <c r="M34" i="2"/>
  <c r="E34" i="2"/>
  <c r="D34" i="2"/>
  <c r="N33" i="2"/>
  <c r="M33" i="2"/>
  <c r="E33" i="2"/>
  <c r="D33" i="2"/>
  <c r="N32" i="2"/>
  <c r="M32" i="2"/>
  <c r="E32" i="2"/>
  <c r="D32" i="2"/>
  <c r="N31" i="2"/>
  <c r="M31" i="2"/>
  <c r="E31" i="2"/>
  <c r="D31" i="2"/>
  <c r="N30" i="2"/>
  <c r="M30" i="2"/>
  <c r="E30" i="2"/>
  <c r="D30" i="2"/>
  <c r="N29" i="2"/>
  <c r="M29" i="2"/>
  <c r="E29" i="2"/>
  <c r="D29" i="2"/>
  <c r="N28" i="2"/>
  <c r="M28" i="2"/>
  <c r="E28" i="2"/>
  <c r="D28" i="2"/>
  <c r="N27" i="2"/>
  <c r="M27" i="2"/>
  <c r="E27" i="2"/>
  <c r="D27" i="2"/>
  <c r="N26" i="2"/>
  <c r="M26" i="2"/>
  <c r="E26" i="2"/>
  <c r="D26" i="2"/>
  <c r="N25" i="2"/>
  <c r="M25" i="2"/>
  <c r="E25" i="2"/>
  <c r="D25" i="2"/>
  <c r="N24" i="2"/>
  <c r="M24" i="2"/>
  <c r="E24" i="2"/>
  <c r="D24" i="2"/>
  <c r="N23" i="2"/>
  <c r="M23" i="2"/>
  <c r="E23" i="2"/>
  <c r="D23" i="2"/>
  <c r="N22" i="2"/>
  <c r="M22" i="2"/>
  <c r="E22" i="2"/>
  <c r="D22" i="2"/>
  <c r="N21" i="2"/>
  <c r="M21" i="2"/>
  <c r="E21" i="2"/>
  <c r="D21" i="2"/>
  <c r="N20" i="2"/>
  <c r="M20" i="2"/>
  <c r="E20" i="2"/>
  <c r="D20" i="2"/>
  <c r="N19" i="2"/>
  <c r="M19" i="2"/>
  <c r="E19" i="2"/>
  <c r="D19" i="2"/>
  <c r="N18" i="2"/>
  <c r="M18" i="2"/>
  <c r="E18" i="2"/>
  <c r="D18" i="2"/>
  <c r="N17" i="2"/>
  <c r="M17" i="2"/>
  <c r="E17" i="2"/>
  <c r="D17" i="2"/>
  <c r="N16" i="2"/>
  <c r="M16" i="2"/>
  <c r="E16" i="2"/>
  <c r="D16" i="2"/>
  <c r="N15" i="2"/>
  <c r="M15" i="2"/>
  <c r="E15" i="2"/>
  <c r="D15" i="2"/>
  <c r="N14" i="2"/>
  <c r="M14" i="2"/>
  <c r="E14" i="2"/>
  <c r="D14" i="2"/>
  <c r="N13" i="2"/>
  <c r="M13" i="2"/>
  <c r="E13" i="2"/>
  <c r="D13" i="2"/>
  <c r="N12" i="2"/>
  <c r="M12" i="2"/>
  <c r="E12" i="2"/>
  <c r="D12" i="2"/>
  <c r="N11" i="2"/>
  <c r="M11" i="2"/>
  <c r="E11" i="2"/>
  <c r="D11" i="2"/>
  <c r="N10" i="2"/>
  <c r="M10" i="2"/>
  <c r="E10" i="2"/>
  <c r="D10" i="2"/>
  <c r="N9" i="2"/>
  <c r="M9" i="2"/>
  <c r="E9" i="2"/>
  <c r="D9" i="2"/>
  <c r="N8" i="2"/>
  <c r="M8" i="2"/>
  <c r="E8" i="2"/>
  <c r="D8" i="2"/>
  <c r="N7" i="2"/>
  <c r="M7" i="2"/>
  <c r="E7" i="2"/>
  <c r="D7" i="2"/>
  <c r="N6" i="2"/>
  <c r="M6" i="2"/>
  <c r="E6" i="2"/>
  <c r="D6" i="2"/>
  <c r="N5" i="2"/>
  <c r="M5" i="2"/>
  <c r="E5" i="2"/>
  <c r="D5" i="2"/>
  <c r="N4" i="2"/>
  <c r="M4" i="2"/>
  <c r="E4" i="2"/>
  <c r="D4" i="2"/>
  <c r="N3" i="2"/>
  <c r="M3" i="2"/>
  <c r="E3" i="2"/>
  <c r="D3" i="2"/>
  <c r="N2" i="2"/>
  <c r="M2" i="2"/>
  <c r="E2" i="2"/>
  <c r="D2" i="2"/>
  <c r="N1" i="2"/>
  <c r="M1" i="2"/>
  <c r="E1" i="2"/>
  <c r="D1" i="2"/>
</calcChain>
</file>

<file path=xl/sharedStrings.xml><?xml version="1.0" encoding="utf-8"?>
<sst xmlns="http://schemas.openxmlformats.org/spreadsheetml/2006/main" count="1337" uniqueCount="1134">
  <si>
    <t>A01=Beyneuskiy</t>
  </si>
  <si>
    <t>A02=Tupkaraganskiy</t>
  </si>
  <si>
    <t>A03=Mangistauskiy</t>
  </si>
  <si>
    <t>A04=Karakiyanskiy</t>
  </si>
  <si>
    <t>A05=Aktau city</t>
  </si>
  <si>
    <t>A06=Zhanaozen town</t>
  </si>
  <si>
    <t>B01=Zerendinskiy</t>
  </si>
  <si>
    <t>B02=Burabaiskiy</t>
  </si>
  <si>
    <t>B03=Enbekshil'derskiy</t>
  </si>
  <si>
    <t>B04=Sandyktauskiy</t>
  </si>
  <si>
    <t>B05=Bulandynskiy</t>
  </si>
  <si>
    <t>B06=Akkol'skiy</t>
  </si>
  <si>
    <t>B07=Ereymentauskiy</t>
  </si>
  <si>
    <t>B08=Esil'skiy</t>
  </si>
  <si>
    <t>B09=Zhaksynskiy</t>
  </si>
  <si>
    <t>B10=Atbasarskiy</t>
  </si>
  <si>
    <t>B11=Astrakhanskiy</t>
  </si>
  <si>
    <t>B12=Shortandinskiy</t>
  </si>
  <si>
    <t>B13=Zharkainskiy</t>
  </si>
  <si>
    <t>B14=Egindykol'skiy</t>
  </si>
  <si>
    <t>B15=Tselinogradskiy</t>
  </si>
  <si>
    <t>B16=Arshalynskiy</t>
  </si>
  <si>
    <t>B17=Korgalzhynskiy</t>
  </si>
  <si>
    <t>B18=Kokshetau city</t>
  </si>
  <si>
    <t>B19=Stepnogorsk town</t>
  </si>
  <si>
    <t>C01=Mamlyutskiy</t>
  </si>
  <si>
    <t>C02=Kyzylzharskiy</t>
  </si>
  <si>
    <t>C03=Magzhana Zhumabaeva</t>
  </si>
  <si>
    <t>C04=Zhambylskiy</t>
  </si>
  <si>
    <t>C05=Esil'skiy</t>
  </si>
  <si>
    <t>C06=Akkaiynskiy</t>
  </si>
  <si>
    <t>C07=Timiryazevskiy</t>
  </si>
  <si>
    <t>C08=Shalakyna</t>
  </si>
  <si>
    <t>C09=Tayynshinskiy</t>
  </si>
  <si>
    <t>C10=Akzharskiy</t>
  </si>
  <si>
    <t>C11=Ualikhanovskiy</t>
  </si>
  <si>
    <t>C12=Gabita Musrepova</t>
  </si>
  <si>
    <t>C13=Aiyrtauskiy</t>
  </si>
  <si>
    <t>C14=Petropavlovsk city</t>
  </si>
  <si>
    <t>F01=Zhelezinskiy</t>
  </si>
  <si>
    <t>F02=Irtishskiy</t>
  </si>
  <si>
    <t>F03=Kachirskiy</t>
  </si>
  <si>
    <t>F04=Aktogayskiy</t>
  </si>
  <si>
    <t>F05=Uspenskiy</t>
  </si>
  <si>
    <t>F06=Pavlodarskiy</t>
  </si>
  <si>
    <t>F07=Scherbaktinskiy</t>
  </si>
  <si>
    <t>F08=Bayanaul'skiy</t>
  </si>
  <si>
    <t>F09=Mayskiy</t>
  </si>
  <si>
    <t>F10=Lebyazhinskiy</t>
  </si>
  <si>
    <t>F11=Pavlodar city</t>
  </si>
  <si>
    <t>F12=Aksu town</t>
  </si>
  <si>
    <t>F13=Ekibastuz town</t>
  </si>
  <si>
    <t>G01=Almalinskiy</t>
  </si>
  <si>
    <t>G02=Auezovskiy</t>
  </si>
  <si>
    <t>G03=Alatauskiy</t>
  </si>
  <si>
    <t>G04=Bostandykskiy</t>
  </si>
  <si>
    <t>G05=Zhetysuskiy</t>
  </si>
  <si>
    <t>G06=Medeuskiy</t>
  </si>
  <si>
    <t>G07=Turksibskiy</t>
  </si>
  <si>
    <t>G08=Nauryzbayskiy</t>
  </si>
  <si>
    <t>I01=Martukskiy</t>
  </si>
  <si>
    <t>I02=Kargalinskiy</t>
  </si>
  <si>
    <t>I03=Khobdinskiy</t>
  </si>
  <si>
    <t>I04=Alginskiy</t>
  </si>
  <si>
    <t>I05=Khromtauskiy</t>
  </si>
  <si>
    <t>I06=Aytekebiyskiy</t>
  </si>
  <si>
    <t>I07=Uilskiy</t>
  </si>
  <si>
    <t>I08=Temirskiy</t>
  </si>
  <si>
    <t>I09=Mugalzharskiy</t>
  </si>
  <si>
    <t>I10=Irgizskiy</t>
  </si>
  <si>
    <t>I11=Bayganinskiy</t>
  </si>
  <si>
    <t>I12=Shalkarskiy</t>
  </si>
  <si>
    <t>I13=Aktobe city</t>
  </si>
  <si>
    <t>J01=Beskaragayskiy</t>
  </si>
  <si>
    <t>J02=Borodulikhinskiy</t>
  </si>
  <si>
    <t>J03=Shemonaikhinskiy</t>
  </si>
  <si>
    <t>J04=Glubokovskiy</t>
  </si>
  <si>
    <t>J05=Zyryanovskiy</t>
  </si>
  <si>
    <t>J06=Uhlanskiy</t>
  </si>
  <si>
    <t>J07=Katon-karagayskiy</t>
  </si>
  <si>
    <t>J08=Abayskiy</t>
  </si>
  <si>
    <t>J09=Zharminskiy</t>
  </si>
  <si>
    <t>J10=Kokpektinskiy</t>
  </si>
  <si>
    <t>J11=Kurchumskiy</t>
  </si>
  <si>
    <t>J12=Ayagozskiy</t>
  </si>
  <si>
    <t>J13=Tarbagatayskiy</t>
  </si>
  <si>
    <t>J14=Zaysanskiy</t>
  </si>
  <si>
    <t>J15=Urzharskiy</t>
  </si>
  <si>
    <t>J16=Ust'-kamenogorsk city</t>
  </si>
  <si>
    <t>J17=Ayagoz town</t>
  </si>
  <si>
    <t>J18=Zyryanovsk town</t>
  </si>
  <si>
    <t>J19=Kurchatov town</t>
  </si>
  <si>
    <t>J20=Ridder town</t>
  </si>
  <si>
    <t>J21=Semipalatinsk town</t>
  </si>
  <si>
    <t>K01=Aralskiy</t>
  </si>
  <si>
    <t>K02=Kazalinskiy</t>
  </si>
  <si>
    <t>K03=Karmakshinskiy</t>
  </si>
  <si>
    <t>K04=Zhalagashskiy</t>
  </si>
  <si>
    <t>K05=Syr darya</t>
  </si>
  <si>
    <t>K06=Shieliyskiy</t>
  </si>
  <si>
    <t>K07=Zhanakorganskiy</t>
  </si>
  <si>
    <t>K08=Kyzylorda city</t>
  </si>
  <si>
    <t>K09=Baykonyr town</t>
  </si>
  <si>
    <t>L01=Karabalykskiy</t>
  </si>
  <si>
    <t>L02=Fedorovskiy</t>
  </si>
  <si>
    <t>L03=Mendykarinskiy</t>
  </si>
  <si>
    <t>L04=Uzunkolskiy</t>
  </si>
  <si>
    <t>L05=Kostanayskiy</t>
  </si>
  <si>
    <t>L06=Sarykolskiy</t>
  </si>
  <si>
    <t>L07=Altynsarinskiy</t>
  </si>
  <si>
    <t>L08=Denisovskiy</t>
  </si>
  <si>
    <t>L09=Taranovskiy</t>
  </si>
  <si>
    <t>L10=Auliekolskiy</t>
  </si>
  <si>
    <t>L11=Karasuskiy</t>
  </si>
  <si>
    <t>L12=Zhitikarinskiy</t>
  </si>
  <si>
    <t>L13=Kamystinskiy</t>
  </si>
  <si>
    <t>L14=Naurzumskiy</t>
  </si>
  <si>
    <t>L15=Dzhangel'dinskiy</t>
  </si>
  <si>
    <t>L16=Amangel'dinskiy</t>
  </si>
  <si>
    <t>L17=Kostanay city</t>
  </si>
  <si>
    <t>L18=Arkalyk town</t>
  </si>
  <si>
    <t>L19=Lisakovsk town</t>
  </si>
  <si>
    <t>L20=Rudny town</t>
  </si>
  <si>
    <t>M01=Zelenovskiy</t>
  </si>
  <si>
    <t>M02=Terektinskiy</t>
  </si>
  <si>
    <t>M03=Burlinskiy</t>
  </si>
  <si>
    <t>M04=Chingirlauskiy</t>
  </si>
  <si>
    <t>M05=Taskalinskiy</t>
  </si>
  <si>
    <t>M06=Akzhaikskiy</t>
  </si>
  <si>
    <t>M07=Syrymskiy</t>
  </si>
  <si>
    <t>M08=Zhanibekskiy</t>
  </si>
  <si>
    <t>M09=Kaztalovskiy</t>
  </si>
  <si>
    <t>M10=Karatobinskiy</t>
  </si>
  <si>
    <t>M11=Bokeiyordynskiy</t>
  </si>
  <si>
    <t>M12=Dzhangalinskiy</t>
  </si>
  <si>
    <t>M13=Uralsk city</t>
  </si>
  <si>
    <t>N01=Suzakskiy</t>
  </si>
  <si>
    <t>N02=district of Baydibeka</t>
  </si>
  <si>
    <t>N03=Otrarskiy</t>
  </si>
  <si>
    <t>N04=Ordabasynskiy</t>
  </si>
  <si>
    <t>N05=Arysskiy</t>
  </si>
  <si>
    <t>N06=Sairamskiy</t>
  </si>
  <si>
    <t>N07=Tyul'kubasskiy</t>
  </si>
  <si>
    <t>N08=Tolebiyskiy</t>
  </si>
  <si>
    <t>N09=Shardarinskiy</t>
  </si>
  <si>
    <t>N10=Saryagashskiy</t>
  </si>
  <si>
    <t>N11=Kazygurtskiy</t>
  </si>
  <si>
    <t>N12=Makhtaaral'skiy</t>
  </si>
  <si>
    <t>N13=Shymkent city</t>
  </si>
  <si>
    <t>N14=Kentau town</t>
  </si>
  <si>
    <t>N15=Arys' town</t>
  </si>
  <si>
    <t>N16=Turkestan town</t>
  </si>
  <si>
    <t>O01=Inderskiy</t>
  </si>
  <si>
    <t>O02=Kzyloginskiy</t>
  </si>
  <si>
    <t>O03=Kurmangazinskiy</t>
  </si>
  <si>
    <t>O04=Isataiyskiy</t>
  </si>
  <si>
    <t>O05=Makhambetskiy</t>
  </si>
  <si>
    <t>O06=Makatskiy</t>
  </si>
  <si>
    <t>O07=Zhylyoiyskiy</t>
  </si>
  <si>
    <t>O08=Atyrau city</t>
  </si>
  <si>
    <t>P01=Osakarovskiy</t>
  </si>
  <si>
    <t>P02=Nurinskiy</t>
  </si>
  <si>
    <t>P03=Bukhar-Zhyrauskiy</t>
  </si>
  <si>
    <t>P04=Abayskiy</t>
  </si>
  <si>
    <t>P05=Karkaralinskiy</t>
  </si>
  <si>
    <t>P06=Ulytauskiy</t>
  </si>
  <si>
    <t>P07=Zhanaarkinskiy</t>
  </si>
  <si>
    <t>P08=Shetskiy</t>
  </si>
  <si>
    <t>P09=Aktogaiyskiy</t>
  </si>
  <si>
    <t>P10=Karagandy city</t>
  </si>
  <si>
    <t>P11=Balkhash town</t>
  </si>
  <si>
    <t>P12=Zhezkazgan city</t>
  </si>
  <si>
    <t>P13=Karazhal town</t>
  </si>
  <si>
    <t>P14=Priozersk town</t>
  </si>
  <si>
    <t>P15=Saran town</t>
  </si>
  <si>
    <t>P16=Satpaev town</t>
  </si>
  <si>
    <t>P17=Temirtau town</t>
  </si>
  <si>
    <t>P18=Shakhtinsk town</t>
  </si>
  <si>
    <t>Q01=Alakol'skiy</t>
  </si>
  <si>
    <t>Q02=Balkhashskiy</t>
  </si>
  <si>
    <t>Q03=Karatal'skiy</t>
  </si>
  <si>
    <t>Q04=Aksuiyskiy</t>
  </si>
  <si>
    <t>Q05=Sarkandskiy</t>
  </si>
  <si>
    <t>Q06=Koksuskiy</t>
  </si>
  <si>
    <t>Q07=Eskel'dinskiy</t>
  </si>
  <si>
    <t>Q08=Kerbulakskiy</t>
  </si>
  <si>
    <t>Q09=Panfilovskiy</t>
  </si>
  <si>
    <t>Q10=Zhambyl'skiy</t>
  </si>
  <si>
    <t>Q11=Iliyskiy</t>
  </si>
  <si>
    <t>Q12=Karasaiyskiy</t>
  </si>
  <si>
    <t>Q13=Talgarskiy</t>
  </si>
  <si>
    <t>Q14=Enbekshikazakhskiy</t>
  </si>
  <si>
    <t>Q15=Uiygurskiy</t>
  </si>
  <si>
    <t>Q16=Raiyimbekskiy</t>
  </si>
  <si>
    <t>Q17=Taldykorgan city</t>
  </si>
  <si>
    <t>Q18=Kapchagay town</t>
  </si>
  <si>
    <t>Q19=Tekeli town</t>
  </si>
  <si>
    <t>T01=Sarysuskiy</t>
  </si>
  <si>
    <t>T02=Moiynkumskiy</t>
  </si>
  <si>
    <t>T03=Talasskiy</t>
  </si>
  <si>
    <t>T04=Bayzakskiy</t>
  </si>
  <si>
    <t>T05=Turara Ryskulova</t>
  </si>
  <si>
    <t>T06=Merkenskiy</t>
  </si>
  <si>
    <t>T07=Shuskiy</t>
  </si>
  <si>
    <t>T08=Kordaiskiy</t>
  </si>
  <si>
    <t>T09=Zhambyl'skiy</t>
  </si>
  <si>
    <t>T10=Zhualynskiy</t>
  </si>
  <si>
    <t>T11=Taraz city</t>
  </si>
  <si>
    <t>Z01=Almatynskiy</t>
  </si>
  <si>
    <t>Z02=Esil'skiy</t>
  </si>
  <si>
    <t>Z03=Saryarkinskiy</t>
  </si>
  <si>
    <t>Z04=Baykonur</t>
  </si>
  <si>
    <t>A01=Beineu District</t>
  </si>
  <si>
    <t>A02=Tupkaragan District</t>
  </si>
  <si>
    <t>A03=Mangystau District</t>
  </si>
  <si>
    <t>A04=Karakiya District</t>
  </si>
  <si>
    <t>A05=Aktau City Administration</t>
  </si>
  <si>
    <t>A06=Zhanaozen City Administration</t>
  </si>
  <si>
    <t>A07=Munaily District</t>
  </si>
  <si>
    <t>B01=Zerendi District</t>
  </si>
  <si>
    <t>B02=Burabai District</t>
  </si>
  <si>
    <t>B03=Birzhan Sal District</t>
  </si>
  <si>
    <t>B04=Sandyktau District</t>
  </si>
  <si>
    <t>B05=Bulandy District</t>
  </si>
  <si>
    <t>B06=Akkol District</t>
  </si>
  <si>
    <t>B07=Ereymentau District</t>
  </si>
  <si>
    <t>B08=Esil District</t>
  </si>
  <si>
    <t>B09=Zhaksy District</t>
  </si>
  <si>
    <t>B10=Atbasar District</t>
  </si>
  <si>
    <t>B11=Astrakhan District</t>
  </si>
  <si>
    <t>B12=Shortandy District</t>
  </si>
  <si>
    <t>B13=Zharkain District</t>
  </si>
  <si>
    <t>B14=Egindykol District</t>
  </si>
  <si>
    <t>B15=Tselinograd District</t>
  </si>
  <si>
    <t>B16=Arshaly District</t>
  </si>
  <si>
    <t>B17=Korgalzhyn District</t>
  </si>
  <si>
    <t>B18=Kokshetau City Administration</t>
  </si>
  <si>
    <t>B19=Stepnogorsk City Administration</t>
  </si>
  <si>
    <t>B20=Kosshy City Administration</t>
  </si>
  <si>
    <t>C01=Mamlyut District</t>
  </si>
  <si>
    <t>C02=Kyzylzhar District</t>
  </si>
  <si>
    <t>C03=Magzhan Zhumabayev District</t>
  </si>
  <si>
    <t>C04=Zhambyl District</t>
  </si>
  <si>
    <t>C05=Esil District</t>
  </si>
  <si>
    <t>C06=Akkaiyn District</t>
  </si>
  <si>
    <t>C07=Timiryazev District</t>
  </si>
  <si>
    <t>C08=Shal Akyn District</t>
  </si>
  <si>
    <t>C09=Taiynsha District</t>
  </si>
  <si>
    <t>C10=Akzhar District</t>
  </si>
  <si>
    <t>C11=Ualikhanov District</t>
  </si>
  <si>
    <t>C12=Gabit Musrepov District</t>
  </si>
  <si>
    <t>C13=Aiyrtau District</t>
  </si>
  <si>
    <t>C14=Petropavl City Administration</t>
  </si>
  <si>
    <t>D01=Abai District</t>
  </si>
  <si>
    <t>D02=Aksuat District</t>
  </si>
  <si>
    <t>D03=Ayagoz District</t>
  </si>
  <si>
    <t>D04=Beskaragai District</t>
  </si>
  <si>
    <t>D05=Borodulikha District</t>
  </si>
  <si>
    <t>D06=Zhanasemey District</t>
  </si>
  <si>
    <t>D07=Zharma District</t>
  </si>
  <si>
    <t>D08=Kokpekti District</t>
  </si>
  <si>
    <t>D09=Makanshy District</t>
  </si>
  <si>
    <t>D10=Urzhar District</t>
  </si>
  <si>
    <t>D11=Semey City Administration</t>
  </si>
  <si>
    <t>D12=Kurchatov City Administration</t>
  </si>
  <si>
    <t>F01=Zhelezin District</t>
  </si>
  <si>
    <t>F02=Irtysh District</t>
  </si>
  <si>
    <t>F03=Terenkol District</t>
  </si>
  <si>
    <t>F04=Aktogay District</t>
  </si>
  <si>
    <t>F05=Uspen District</t>
  </si>
  <si>
    <t>F06=Pavlodar District</t>
  </si>
  <si>
    <t>F07=Shcherbakty District</t>
  </si>
  <si>
    <t>F08=Bayanaul District</t>
  </si>
  <si>
    <t>F09=Mai District</t>
  </si>
  <si>
    <t>F10=Akkuly District</t>
  </si>
  <si>
    <t>F11=Pavlodar City Administration</t>
  </si>
  <si>
    <t>F12=Aksu City Administration</t>
  </si>
  <si>
    <t>F13=Ekibastuz City Administration</t>
  </si>
  <si>
    <t>G01=Almaty. Almaly District</t>
  </si>
  <si>
    <t>G02=Almaty. Auezov District</t>
  </si>
  <si>
    <t>G03=Almaty. Alatau District</t>
  </si>
  <si>
    <t>G04=Almaty. Bostandyk District</t>
  </si>
  <si>
    <t>G05=Almaty. Zhetysu District</t>
  </si>
  <si>
    <t>G06=Almaty. Medeu District</t>
  </si>
  <si>
    <t>G07=Almaty. Turksib District</t>
  </si>
  <si>
    <t>G08=Almaty. Nauryzbai District</t>
  </si>
  <si>
    <t>I01=Martuk District</t>
  </si>
  <si>
    <t>I02=Kargaly District</t>
  </si>
  <si>
    <t>I03=Khobda District</t>
  </si>
  <si>
    <t>I04=Alga District</t>
  </si>
  <si>
    <t>I05=Khromtau District</t>
  </si>
  <si>
    <t>I06=Aitekebi District</t>
  </si>
  <si>
    <t>I07=Uil District</t>
  </si>
  <si>
    <t>I08=Temir District</t>
  </si>
  <si>
    <t>I09=Mugalzhar District</t>
  </si>
  <si>
    <t>I10=Irgiz District</t>
  </si>
  <si>
    <t>I11=Baiganin District</t>
  </si>
  <si>
    <t>I12=Shalkar District</t>
  </si>
  <si>
    <t>I13=Aktobe. Astana District</t>
  </si>
  <si>
    <t>I14=Aktobe. Almaty District</t>
  </si>
  <si>
    <t>J01=Oskemen City Administration</t>
  </si>
  <si>
    <t>J02=Ridder City Administration</t>
  </si>
  <si>
    <t>J03=Shemonaikha District</t>
  </si>
  <si>
    <t>J04=Glubokoe District</t>
  </si>
  <si>
    <t>J05=Altai District</t>
  </si>
  <si>
    <t>J06=Ulan District</t>
  </si>
  <si>
    <t>J07=Katon-Karagai District</t>
  </si>
  <si>
    <t>J08=Ulken Naryn District</t>
  </si>
  <si>
    <t>J09=Markakol District</t>
  </si>
  <si>
    <t>J10=Samar District</t>
  </si>
  <si>
    <t>J11=Kurchum District</t>
  </si>
  <si>
    <t>J12=Tarbagatai District</t>
  </si>
  <si>
    <t>J13=Zaisan District</t>
  </si>
  <si>
    <t>K01=Aral District</t>
  </si>
  <si>
    <t>K02=Kazaly District</t>
  </si>
  <si>
    <t>K03=Karmakshy District</t>
  </si>
  <si>
    <t>K04=Zhalagash District</t>
  </si>
  <si>
    <t>K05=Syrdarya District</t>
  </si>
  <si>
    <t>K06=Shieli District</t>
  </si>
  <si>
    <t>K07=Zhanakorgan District</t>
  </si>
  <si>
    <t>K08=Kyzylorda City Administration</t>
  </si>
  <si>
    <t>L01=Karabalyk District</t>
  </si>
  <si>
    <t>L02=Fyodorov District</t>
  </si>
  <si>
    <t>L03=Mendykara District</t>
  </si>
  <si>
    <t>L04=Uzynkol District</t>
  </si>
  <si>
    <t>L05=Kostanay District</t>
  </si>
  <si>
    <t>L06=Sarykol District</t>
  </si>
  <si>
    <t>L07=Altynsarin District</t>
  </si>
  <si>
    <t>L08=Denisov District</t>
  </si>
  <si>
    <t>L09=Beimbet Mailin District</t>
  </si>
  <si>
    <t>L10=Auliekol District</t>
  </si>
  <si>
    <t>L11=Karasu District</t>
  </si>
  <si>
    <t>L12=Zhitikara District</t>
  </si>
  <si>
    <t>L13=Kamysty District</t>
  </si>
  <si>
    <t>L14=Naurzum District</t>
  </si>
  <si>
    <t>L15=Zhangeldi District</t>
  </si>
  <si>
    <t>L16=Amangeldi District</t>
  </si>
  <si>
    <t>L17=Kostanay City Administration</t>
  </si>
  <si>
    <t>L18=Arkalyk City Administration</t>
  </si>
  <si>
    <t>L19=Lisakovsk City Administration</t>
  </si>
  <si>
    <t>L20=Rudny City Administration</t>
  </si>
  <si>
    <t>M01=Baiterek District</t>
  </si>
  <si>
    <t>M02=Terekti District</t>
  </si>
  <si>
    <t>M03=Burlyn District</t>
  </si>
  <si>
    <t>M04=Shyngyrlau District</t>
  </si>
  <si>
    <t>M05=Taskala District</t>
  </si>
  <si>
    <t>M06=Akzhaiyk District</t>
  </si>
  <si>
    <t>M07=Syrym District</t>
  </si>
  <si>
    <t>M08=Zhanibek District</t>
  </si>
  <si>
    <t>M09=Kaztalov District</t>
  </si>
  <si>
    <t>M10=Karatobe District</t>
  </si>
  <si>
    <t>M11=Bokey Orda District</t>
  </si>
  <si>
    <t>M12=Zhangala District</t>
  </si>
  <si>
    <t>M13=Oral City Administration</t>
  </si>
  <si>
    <t>N01=Suzak District</t>
  </si>
  <si>
    <t>N02=Baidibek District</t>
  </si>
  <si>
    <t>N03=Otyrar District</t>
  </si>
  <si>
    <t>N04=Ordabasy District</t>
  </si>
  <si>
    <t>N05=Zhetysai District</t>
  </si>
  <si>
    <t>N06=Sairam District</t>
  </si>
  <si>
    <t>N07=Tulkibas District</t>
  </si>
  <si>
    <t>N08=Tolebi District</t>
  </si>
  <si>
    <t>N09=Shardara District</t>
  </si>
  <si>
    <t>N10=Saryagash District</t>
  </si>
  <si>
    <t>N11=Kazygurt District</t>
  </si>
  <si>
    <t>N12=Maktaaral District</t>
  </si>
  <si>
    <t>N13=Sauran District</t>
  </si>
  <si>
    <t>N14=Kentau City Administration</t>
  </si>
  <si>
    <t>N15=Arys City Administration</t>
  </si>
  <si>
    <t>N16=Turkistan City Administration</t>
  </si>
  <si>
    <t>N17=Keles District</t>
  </si>
  <si>
    <t>N18=Shymkent. Abai District</t>
  </si>
  <si>
    <t>N19=Shymkent. Al-Farabi District</t>
  </si>
  <si>
    <t>N20=Shymkent. Enbekshi District</t>
  </si>
  <si>
    <t>N21=Shymkent. Karatau District</t>
  </si>
  <si>
    <t>N22=Shymkent. Turan District</t>
  </si>
  <si>
    <t>O01=Inder District</t>
  </si>
  <si>
    <t>O02=Kyzylkoga District</t>
  </si>
  <si>
    <t>O03=Kurmangazy District</t>
  </si>
  <si>
    <t>O04=Isatai District</t>
  </si>
  <si>
    <t>O05=Makhambet District</t>
  </si>
  <si>
    <t>O06=Makat District</t>
  </si>
  <si>
    <t>O07=Zhylyoi District</t>
  </si>
  <si>
    <t>O08=Atyrau City Administration</t>
  </si>
  <si>
    <t>P01=Osakarov District</t>
  </si>
  <si>
    <t>P02=Nura District</t>
  </si>
  <si>
    <t>P03=Bukhar-Zhyrau District</t>
  </si>
  <si>
    <t>P04=Abai District</t>
  </si>
  <si>
    <t>P05=Karkaraly District</t>
  </si>
  <si>
    <t>P06=Karaganda. Alikhan Bokeikhan District</t>
  </si>
  <si>
    <t>P07=Karaganda. Kazybek Bi District</t>
  </si>
  <si>
    <t>P08=Shet District</t>
  </si>
  <si>
    <t>P09=Aktogay District</t>
  </si>
  <si>
    <t>P10=Priozersk City Administration</t>
  </si>
  <si>
    <t>P11=Balkhash City Administration</t>
  </si>
  <si>
    <t>P12=Saran City Administration</t>
  </si>
  <si>
    <t>P13=Temirtau City Administration</t>
  </si>
  <si>
    <t>P14=Shakhtinsk City Administration</t>
  </si>
  <si>
    <t>Q01=Balkhash District</t>
  </si>
  <si>
    <t>Q02=Enbekshikazakh District</t>
  </si>
  <si>
    <t>Q03=Zhambyl District</t>
  </si>
  <si>
    <t>Q04=Kegen District</t>
  </si>
  <si>
    <t>Q05=Karasai District</t>
  </si>
  <si>
    <t>Q06=Raimbek District</t>
  </si>
  <si>
    <t>Q07=Talgar District</t>
  </si>
  <si>
    <t>Q08=Uighur District</t>
  </si>
  <si>
    <t>Q09=Ili District</t>
  </si>
  <si>
    <t>Q10=Qonaev City Administration</t>
  </si>
  <si>
    <t>Q11=Alatau City Administration</t>
  </si>
  <si>
    <t>R01=Zhanaarka District</t>
  </si>
  <si>
    <t>R02=Ulytau District</t>
  </si>
  <si>
    <t>R03=Zhezkazgan City Administration</t>
  </si>
  <si>
    <t>R04=Karazhal City Administration</t>
  </si>
  <si>
    <t>R05=Satpayev City Administration</t>
  </si>
  <si>
    <t>S01=Baikonur City Administration</t>
  </si>
  <si>
    <t>T01=Sarysu District</t>
  </si>
  <si>
    <t>T02=Moyynkum District</t>
  </si>
  <si>
    <t>T03=Talas District</t>
  </si>
  <si>
    <t>T04=Baizak District</t>
  </si>
  <si>
    <t>T05=Turar Ryskulov District</t>
  </si>
  <si>
    <t>T06=Merke District</t>
  </si>
  <si>
    <t>T07=Shu District</t>
  </si>
  <si>
    <t>T08=Kordai District</t>
  </si>
  <si>
    <t>T09=Zhambyl District</t>
  </si>
  <si>
    <t>T10=Zhualy District</t>
  </si>
  <si>
    <t>T11=Taraz. Aulieata District</t>
  </si>
  <si>
    <t>T12=Taraz. Zhibek Zholy District</t>
  </si>
  <si>
    <t>V01=Aksu District</t>
  </si>
  <si>
    <t>V02=Alakol District</t>
  </si>
  <si>
    <t>V03=Eskeldi District</t>
  </si>
  <si>
    <t>V04=Kerbulak District</t>
  </si>
  <si>
    <t>V05=Koksu District</t>
  </si>
  <si>
    <t>V06=Karatal District</t>
  </si>
  <si>
    <t>V07=Panfilov District</t>
  </si>
  <si>
    <t>V08=Sarkan District</t>
  </si>
  <si>
    <t>V09=Taldykorgan City Administration</t>
  </si>
  <si>
    <t>V10=Tekeli City Administration</t>
  </si>
  <si>
    <t>Z01=Astana. Almaty District</t>
  </si>
  <si>
    <t>Z02=Astana. Esil District</t>
  </si>
  <si>
    <t>Z03=Astana. Saryarka District</t>
  </si>
  <si>
    <t>Z04=Astana. Baikonur District</t>
  </si>
  <si>
    <t>Z05=Astana. Nura District</t>
  </si>
  <si>
    <t>Z06=Astana. Sarayshyk District</t>
  </si>
  <si>
    <t>A01</t>
  </si>
  <si>
    <t>Beyneuskiy</t>
  </si>
  <si>
    <t>Beineu District</t>
  </si>
  <si>
    <t>A02</t>
  </si>
  <si>
    <t>Tupkaraganskiy</t>
  </si>
  <si>
    <t>Tupkaragan District</t>
  </si>
  <si>
    <t>A03</t>
  </si>
  <si>
    <t>Mangistauskiy</t>
  </si>
  <si>
    <t>Mangystau District</t>
  </si>
  <si>
    <t>A04</t>
  </si>
  <si>
    <t>Karakiyanskiy</t>
  </si>
  <si>
    <t>Karakiya District</t>
  </si>
  <si>
    <t>A05</t>
  </si>
  <si>
    <t>Aktau city</t>
  </si>
  <si>
    <t>Aktau City Administr</t>
  </si>
  <si>
    <t>A06</t>
  </si>
  <si>
    <t>Zhanaozen town</t>
  </si>
  <si>
    <t>Zhanaozen City Admin</t>
  </si>
  <si>
    <t>B01</t>
  </si>
  <si>
    <t>Zerendinskiy</t>
  </si>
  <si>
    <t>A07</t>
  </si>
  <si>
    <t>Munaily District</t>
  </si>
  <si>
    <t>B02</t>
  </si>
  <si>
    <t>Burabaiskiy</t>
  </si>
  <si>
    <t>Zerendi District</t>
  </si>
  <si>
    <t>B03</t>
  </si>
  <si>
    <t>Enbekshil'derskiy</t>
  </si>
  <si>
    <t>Burabai District</t>
  </si>
  <si>
    <t>B04</t>
  </si>
  <si>
    <t>Sandyktauskiy</t>
  </si>
  <si>
    <t>Birzhan Sal District</t>
  </si>
  <si>
    <t>B05</t>
  </si>
  <si>
    <t>Bulandynskiy</t>
  </si>
  <si>
    <t>Sandyktau District</t>
  </si>
  <si>
    <t>B06</t>
  </si>
  <si>
    <t>Akkol'skiy</t>
  </si>
  <si>
    <t>Bulandy District</t>
  </si>
  <si>
    <t>B07</t>
  </si>
  <si>
    <t>Ereymentauskiy</t>
  </si>
  <si>
    <t>Akkol District</t>
  </si>
  <si>
    <t>B08</t>
  </si>
  <si>
    <t>Esil'skiy</t>
  </si>
  <si>
    <t>Ereymentau District</t>
  </si>
  <si>
    <t>B09</t>
  </si>
  <si>
    <t>Zhaksynskiy</t>
  </si>
  <si>
    <t>Esil District</t>
  </si>
  <si>
    <t>B10</t>
  </si>
  <si>
    <t>Atbasarskiy</t>
  </si>
  <si>
    <t>Zhaksy District</t>
  </si>
  <si>
    <t>B11</t>
  </si>
  <si>
    <t>Astrakhanskiy</t>
  </si>
  <si>
    <t>Atbasar District</t>
  </si>
  <si>
    <t>B12</t>
  </si>
  <si>
    <t>Shortandinskiy</t>
  </si>
  <si>
    <t>Astrakhan District</t>
  </si>
  <si>
    <t>B13</t>
  </si>
  <si>
    <t>Zharkainskiy</t>
  </si>
  <si>
    <t>Shortandy District</t>
  </si>
  <si>
    <t>B14</t>
  </si>
  <si>
    <t>Egindykol'skiy</t>
  </si>
  <si>
    <t>Zharkain District</t>
  </si>
  <si>
    <t>B15</t>
  </si>
  <si>
    <t>Tselinogradskiy</t>
  </si>
  <si>
    <t>Egindykol District</t>
  </si>
  <si>
    <t>B16</t>
  </si>
  <si>
    <t>Arshalynskiy</t>
  </si>
  <si>
    <t>Tselinograd District</t>
  </si>
  <si>
    <t>B17</t>
  </si>
  <si>
    <t>Korgalzhynskiy</t>
  </si>
  <si>
    <t>Arshaly District</t>
  </si>
  <si>
    <t>B18</t>
  </si>
  <si>
    <t>Kokshetau city</t>
  </si>
  <si>
    <t>Korgalzhyn District</t>
  </si>
  <si>
    <t>B19</t>
  </si>
  <si>
    <t>Stepnogorsk town</t>
  </si>
  <si>
    <t>Kokshetau City Admin</t>
  </si>
  <si>
    <t>C01</t>
  </si>
  <si>
    <t>Mamlyutskiy</t>
  </si>
  <si>
    <t>Stepnogorsk City Adm</t>
  </si>
  <si>
    <t>C02</t>
  </si>
  <si>
    <t>Kyzylzharskiy</t>
  </si>
  <si>
    <t>B20</t>
  </si>
  <si>
    <t>Kosshy City Administ</t>
  </si>
  <si>
    <t>C03</t>
  </si>
  <si>
    <t>Magzhana Zhumabaeva</t>
  </si>
  <si>
    <t>Mamlyut District</t>
  </si>
  <si>
    <t>C04</t>
  </si>
  <si>
    <t>Kyzylzhar District</t>
  </si>
  <si>
    <t>C05</t>
  </si>
  <si>
    <t>Magzhan Zhumabayev D</t>
  </si>
  <si>
    <t>C06</t>
  </si>
  <si>
    <t>Akkaiynskiy</t>
  </si>
  <si>
    <t>Zhambyl District</t>
  </si>
  <si>
    <t>C07</t>
  </si>
  <si>
    <t>Timiryazevskiy</t>
  </si>
  <si>
    <t>C08</t>
  </si>
  <si>
    <t>Shalakyna</t>
  </si>
  <si>
    <t>Akkaiyn District</t>
  </si>
  <si>
    <t>C09</t>
  </si>
  <si>
    <t>Tayynshinskiy</t>
  </si>
  <si>
    <t>Timiryazev District</t>
  </si>
  <si>
    <t>C10</t>
  </si>
  <si>
    <t>Akzharskiy</t>
  </si>
  <si>
    <t>Shal Akyn District</t>
  </si>
  <si>
    <t>C11</t>
  </si>
  <si>
    <t>Ualikhanovskiy</t>
  </si>
  <si>
    <t>Taiynsha District</t>
  </si>
  <si>
    <t>C12</t>
  </si>
  <si>
    <t>Gabita Musrepova</t>
  </si>
  <si>
    <t>Akzhar District</t>
  </si>
  <si>
    <t>C13</t>
  </si>
  <si>
    <t>Aiyrtauskiy</t>
  </si>
  <si>
    <t>Ualikhanov District</t>
  </si>
  <si>
    <t>C14</t>
  </si>
  <si>
    <t>Petropavlovsk city</t>
  </si>
  <si>
    <t>Gabit Musrepov Distr</t>
  </si>
  <si>
    <t>F01</t>
  </si>
  <si>
    <t>Zhelezinskiy</t>
  </si>
  <si>
    <t>Aiyrtau District</t>
  </si>
  <si>
    <t>F02</t>
  </si>
  <si>
    <t>Irtishskiy</t>
  </si>
  <si>
    <t>Petropavl City Admin</t>
  </si>
  <si>
    <t>F03</t>
  </si>
  <si>
    <t>Kachirskiy</t>
  </si>
  <si>
    <t>D01</t>
  </si>
  <si>
    <t>Abai District</t>
  </si>
  <si>
    <t>F04</t>
  </si>
  <si>
    <t>Aktogayskiy</t>
  </si>
  <si>
    <t>D02</t>
  </si>
  <si>
    <t>Aksuat District</t>
  </si>
  <si>
    <t>F05</t>
  </si>
  <si>
    <t>Uspenskiy</t>
  </si>
  <si>
    <t>D03</t>
  </si>
  <si>
    <t>Ayagoz District</t>
  </si>
  <si>
    <t>F06</t>
  </si>
  <si>
    <t>Pavlodarskiy</t>
  </si>
  <si>
    <t>D04</t>
  </si>
  <si>
    <t>Beskaragai District</t>
  </si>
  <si>
    <t>F07</t>
  </si>
  <si>
    <t>Scherbaktinskiy</t>
  </si>
  <si>
    <t>D05</t>
  </si>
  <si>
    <t>Borodulikha District</t>
  </si>
  <si>
    <t>F08</t>
  </si>
  <si>
    <t>Bayanaul'skiy</t>
  </si>
  <si>
    <t>D06</t>
  </si>
  <si>
    <t>Zhanasemey District</t>
  </si>
  <si>
    <t>F09</t>
  </si>
  <si>
    <t>Mayskiy</t>
  </si>
  <si>
    <t>D07</t>
  </si>
  <si>
    <t>Zharma District</t>
  </si>
  <si>
    <t>F10</t>
  </si>
  <si>
    <t>Lebyazhinskiy</t>
  </si>
  <si>
    <t>D08</t>
  </si>
  <si>
    <t>Kokpekti District</t>
  </si>
  <si>
    <t>F11</t>
  </si>
  <si>
    <t>Pavlodar city</t>
  </si>
  <si>
    <t>D09</t>
  </si>
  <si>
    <t>Makanshy District</t>
  </si>
  <si>
    <t>F12</t>
  </si>
  <si>
    <t>Aksu town</t>
  </si>
  <si>
    <t>D10</t>
  </si>
  <si>
    <t>Urzhar District</t>
  </si>
  <si>
    <t>F13</t>
  </si>
  <si>
    <t>Ekibastuz town</t>
  </si>
  <si>
    <t>D11</t>
  </si>
  <si>
    <t>Semey City Administr</t>
  </si>
  <si>
    <t>G01</t>
  </si>
  <si>
    <t>Almalinskiy</t>
  </si>
  <si>
    <t>D12</t>
  </si>
  <si>
    <t>Kurchatov City Admin</t>
  </si>
  <si>
    <t>G02</t>
  </si>
  <si>
    <t>Auezovskiy</t>
  </si>
  <si>
    <t>Zhelezin District</t>
  </si>
  <si>
    <t>G03</t>
  </si>
  <si>
    <t>Alatauskiy</t>
  </si>
  <si>
    <t>Irtysh District</t>
  </si>
  <si>
    <t>G04</t>
  </si>
  <si>
    <t>Bostandykskiy</t>
  </si>
  <si>
    <t>Terenkol District</t>
  </si>
  <si>
    <t>G05</t>
  </si>
  <si>
    <t>Zhetysuskiy</t>
  </si>
  <si>
    <t>Aktogay District</t>
  </si>
  <si>
    <t>G06</t>
  </si>
  <si>
    <t>Medeuskiy</t>
  </si>
  <si>
    <t>Uspen District</t>
  </si>
  <si>
    <t>G07</t>
  </si>
  <si>
    <t>Turksibskiy</t>
  </si>
  <si>
    <t>Pavlodar District</t>
  </si>
  <si>
    <t>G08</t>
  </si>
  <si>
    <t>Nauryzbayskiy</t>
  </si>
  <si>
    <t>Shcherbakty District</t>
  </si>
  <si>
    <t>I01</t>
  </si>
  <si>
    <t>Martukskiy</t>
  </si>
  <si>
    <t>Bayanaul District</t>
  </si>
  <si>
    <t>I02</t>
  </si>
  <si>
    <t>Kargalinskiy</t>
  </si>
  <si>
    <t>Mai District</t>
  </si>
  <si>
    <t>I03</t>
  </si>
  <si>
    <t>Khobdinskiy</t>
  </si>
  <si>
    <t>Akkuly District</t>
  </si>
  <si>
    <t>I04</t>
  </si>
  <si>
    <t>Alginskiy</t>
  </si>
  <si>
    <t>Pavlodar City Admini</t>
  </si>
  <si>
    <t>I05</t>
  </si>
  <si>
    <t>Khromtauskiy</t>
  </si>
  <si>
    <t>Aksu City Administra</t>
  </si>
  <si>
    <t>I06</t>
  </si>
  <si>
    <t>Aytekebiyskiy</t>
  </si>
  <si>
    <t>Ekibastuz City Admin</t>
  </si>
  <si>
    <t>I07</t>
  </si>
  <si>
    <t>Uilskiy</t>
  </si>
  <si>
    <t>Almaty. Almaly Distr</t>
  </si>
  <si>
    <t>I08</t>
  </si>
  <si>
    <t>Temirskiy</t>
  </si>
  <si>
    <t>Almaty. Auezov Distr</t>
  </si>
  <si>
    <t>I09</t>
  </si>
  <si>
    <t>Mugalzharskiy</t>
  </si>
  <si>
    <t>Almaty. Alatau Distr</t>
  </si>
  <si>
    <t>I10</t>
  </si>
  <si>
    <t>Irgizskiy</t>
  </si>
  <si>
    <t>Almaty. Bostandyk Di</t>
  </si>
  <si>
    <t>I11</t>
  </si>
  <si>
    <t>Bayganinskiy</t>
  </si>
  <si>
    <t>Almaty. Zhetysu Dist</t>
  </si>
  <si>
    <t>I12</t>
  </si>
  <si>
    <t>Shalkarskiy</t>
  </si>
  <si>
    <t>Almaty. Medeu Distri</t>
  </si>
  <si>
    <t>I13</t>
  </si>
  <si>
    <t>Aktobe city</t>
  </si>
  <si>
    <t>Almaty. Turksib Dist</t>
  </si>
  <si>
    <t>J01</t>
  </si>
  <si>
    <t>Beskaragayskiy</t>
  </si>
  <si>
    <t>Almaty. Nauryzbai Di</t>
  </si>
  <si>
    <t>J02</t>
  </si>
  <si>
    <t>Borodulikhinskiy</t>
  </si>
  <si>
    <t>Martuk District</t>
  </si>
  <si>
    <t>J03</t>
  </si>
  <si>
    <t>Shemonaikhinskiy</t>
  </si>
  <si>
    <t>Kargaly District</t>
  </si>
  <si>
    <t>J04</t>
  </si>
  <si>
    <t>Glubokovskiy</t>
  </si>
  <si>
    <t>Khobda District</t>
  </si>
  <si>
    <t>J05</t>
  </si>
  <si>
    <t>Zyryanovskiy</t>
  </si>
  <si>
    <t>Alga District</t>
  </si>
  <si>
    <t>J06</t>
  </si>
  <si>
    <t>Uhlanskiy</t>
  </si>
  <si>
    <t>Khromtau District</t>
  </si>
  <si>
    <t>J07</t>
  </si>
  <si>
    <t>Katon-karagayskiy</t>
  </si>
  <si>
    <t>Aitekebi District</t>
  </si>
  <si>
    <t>J08</t>
  </si>
  <si>
    <t>Abayskiy</t>
  </si>
  <si>
    <t>Uil District</t>
  </si>
  <si>
    <t>J09</t>
  </si>
  <si>
    <t>Zharminskiy</t>
  </si>
  <si>
    <t>Temir District</t>
  </si>
  <si>
    <t>J10</t>
  </si>
  <si>
    <t>Kokpektinskiy</t>
  </si>
  <si>
    <t>Mugalzhar District</t>
  </si>
  <si>
    <t>J11</t>
  </si>
  <si>
    <t>Kurchumskiy</t>
  </si>
  <si>
    <t>Irgiz District</t>
  </si>
  <si>
    <t>J12</t>
  </si>
  <si>
    <t>Ayagozskiy</t>
  </si>
  <si>
    <t>Baiganin District</t>
  </si>
  <si>
    <t>J13</t>
  </si>
  <si>
    <t>Tarbagatayskiy</t>
  </si>
  <si>
    <t>Shalkar District</t>
  </si>
  <si>
    <t>J14</t>
  </si>
  <si>
    <t>Zaysanskiy</t>
  </si>
  <si>
    <t>Aktobe. Astana Distr</t>
  </si>
  <si>
    <t>J15</t>
  </si>
  <si>
    <t>Urzharskiy</t>
  </si>
  <si>
    <t>I14</t>
  </si>
  <si>
    <t>Aktobe. Almaty Distr</t>
  </si>
  <si>
    <t>J16</t>
  </si>
  <si>
    <t>Ust'-kamenogorsk cit</t>
  </si>
  <si>
    <t>Oskemen City Adminis</t>
  </si>
  <si>
    <t>J17</t>
  </si>
  <si>
    <t>Ayagoz town</t>
  </si>
  <si>
    <t>Ridder City Administ</t>
  </si>
  <si>
    <t>J18</t>
  </si>
  <si>
    <t>Zyryanovsk town</t>
  </si>
  <si>
    <t>Shemonaikha District</t>
  </si>
  <si>
    <t>J19</t>
  </si>
  <si>
    <t>Kurchatov town</t>
  </si>
  <si>
    <t>Glubokoe District</t>
  </si>
  <si>
    <t>J20</t>
  </si>
  <si>
    <t>Ridder town</t>
  </si>
  <si>
    <t>Altai District</t>
  </si>
  <si>
    <t>J21</t>
  </si>
  <si>
    <t>Semipalatinsk town</t>
  </si>
  <si>
    <t>Ulan District</t>
  </si>
  <si>
    <t>K01</t>
  </si>
  <si>
    <t>Aralskiy</t>
  </si>
  <si>
    <t>Katon-Karagai Distri</t>
  </si>
  <si>
    <t>K02</t>
  </si>
  <si>
    <t>Kazalinskiy</t>
  </si>
  <si>
    <t>Ulken Naryn District</t>
  </si>
  <si>
    <t>K03</t>
  </si>
  <si>
    <t>Karmakshinskiy</t>
  </si>
  <si>
    <t>Markakol District</t>
  </si>
  <si>
    <t>K04</t>
  </si>
  <si>
    <t>Zhalagashskiy</t>
  </si>
  <si>
    <t>Samar District</t>
  </si>
  <si>
    <t>K05</t>
  </si>
  <si>
    <t>Syr darya</t>
  </si>
  <si>
    <t>Kurchum District</t>
  </si>
  <si>
    <t>K06</t>
  </si>
  <si>
    <t>Shieliyskiy</t>
  </si>
  <si>
    <t>Tarbagatai District</t>
  </si>
  <si>
    <t>K07</t>
  </si>
  <si>
    <t>Zhanakorganskiy</t>
  </si>
  <si>
    <t>Zaisan District</t>
  </si>
  <si>
    <t>K08</t>
  </si>
  <si>
    <t>Kyzylorda city</t>
  </si>
  <si>
    <t>Aral District</t>
  </si>
  <si>
    <t>K09</t>
  </si>
  <si>
    <t>Baykonyr town</t>
  </si>
  <si>
    <t>Kazaly District</t>
  </si>
  <si>
    <t>L01</t>
  </si>
  <si>
    <t>Karabalykskiy</t>
  </si>
  <si>
    <t>Karmakshy District</t>
  </si>
  <si>
    <t>L02</t>
  </si>
  <si>
    <t>Fedorovskiy</t>
  </si>
  <si>
    <t>Zhalagash District</t>
  </si>
  <si>
    <t>L03</t>
  </si>
  <si>
    <t>Mendykarinskiy</t>
  </si>
  <si>
    <t>Syrdarya District</t>
  </si>
  <si>
    <t>L04</t>
  </si>
  <si>
    <t>Uzunkolskiy</t>
  </si>
  <si>
    <t>Shieli District</t>
  </si>
  <si>
    <t>L05</t>
  </si>
  <si>
    <t>Kostanayskiy</t>
  </si>
  <si>
    <t>Zhanakorgan District</t>
  </si>
  <si>
    <t>L06</t>
  </si>
  <si>
    <t>Sarykolskiy</t>
  </si>
  <si>
    <t>Kyzylorda City Admin</t>
  </si>
  <si>
    <t>L07</t>
  </si>
  <si>
    <t>Altynsarinskiy</t>
  </si>
  <si>
    <t>Karabalyk District</t>
  </si>
  <si>
    <t>L08</t>
  </si>
  <si>
    <t>Denisovskiy</t>
  </si>
  <si>
    <t>Fyodorov District</t>
  </si>
  <si>
    <t>L09</t>
  </si>
  <si>
    <t>Taranovskiy</t>
  </si>
  <si>
    <t>Mendykara District</t>
  </si>
  <si>
    <t>L10</t>
  </si>
  <si>
    <t>Auliekolskiy</t>
  </si>
  <si>
    <t>Uzynkol District</t>
  </si>
  <si>
    <t>L11</t>
  </si>
  <si>
    <t>Karasuskiy</t>
  </si>
  <si>
    <t>Kostanay District</t>
  </si>
  <si>
    <t>L12</t>
  </si>
  <si>
    <t>Zhitikarinskiy</t>
  </si>
  <si>
    <t>Sarykol District</t>
  </si>
  <si>
    <t>L13</t>
  </si>
  <si>
    <t>Kamystinskiy</t>
  </si>
  <si>
    <t>Altynsarin District</t>
  </si>
  <si>
    <t>L14</t>
  </si>
  <si>
    <t>Naurzumskiy</t>
  </si>
  <si>
    <t>Denisov District</t>
  </si>
  <si>
    <t>L15</t>
  </si>
  <si>
    <t>Dzhangel'dinskiy</t>
  </si>
  <si>
    <t>Beimbet Mailin Distr</t>
  </si>
  <si>
    <t>L16</t>
  </si>
  <si>
    <t>Amangel'dinskiy</t>
  </si>
  <si>
    <t>Auliekol District</t>
  </si>
  <si>
    <t>L17</t>
  </si>
  <si>
    <t>Kostanay city</t>
  </si>
  <si>
    <t>Karasu District</t>
  </si>
  <si>
    <t>L18</t>
  </si>
  <si>
    <t>Arkalyk town</t>
  </si>
  <si>
    <t>Zhitikara District</t>
  </si>
  <si>
    <t>L19</t>
  </si>
  <si>
    <t>Lisakovsk town</t>
  </si>
  <si>
    <t>Kamysty District</t>
  </si>
  <si>
    <t>L20</t>
  </si>
  <si>
    <t>Rudny town</t>
  </si>
  <si>
    <t>Naurzum District</t>
  </si>
  <si>
    <t>M01</t>
  </si>
  <si>
    <t>Zelenovskiy</t>
  </si>
  <si>
    <t>Zhangeldi District</t>
  </si>
  <si>
    <t>M02</t>
  </si>
  <si>
    <t>Terektinskiy</t>
  </si>
  <si>
    <t>Amangeldi District</t>
  </si>
  <si>
    <t>M03</t>
  </si>
  <si>
    <t>Burlinskiy</t>
  </si>
  <si>
    <t>Kostanay City Admini</t>
  </si>
  <si>
    <t>M04</t>
  </si>
  <si>
    <t>Chingirlauskiy</t>
  </si>
  <si>
    <t>Arkalyk City Adminis</t>
  </si>
  <si>
    <t>M05</t>
  </si>
  <si>
    <t>Taskalinskiy</t>
  </si>
  <si>
    <t>Lisakovsk City Admin</t>
  </si>
  <si>
    <t>M06</t>
  </si>
  <si>
    <t>Akzhaikskiy</t>
  </si>
  <si>
    <t>Rudny City Administr</t>
  </si>
  <si>
    <t>M07</t>
  </si>
  <si>
    <t>Syrymskiy</t>
  </si>
  <si>
    <t>Baiterek District</t>
  </si>
  <si>
    <t>M08</t>
  </si>
  <si>
    <t>Zhanibekskiy</t>
  </si>
  <si>
    <t>Terekti District</t>
  </si>
  <si>
    <t>M09</t>
  </si>
  <si>
    <t>Kaztalovskiy</t>
  </si>
  <si>
    <t>Burlyn District</t>
  </si>
  <si>
    <t>M10</t>
  </si>
  <si>
    <t>Karatobinskiy</t>
  </si>
  <si>
    <t>Shyngyrlau District</t>
  </si>
  <si>
    <t>M11</t>
  </si>
  <si>
    <t>Bokeiyordynskiy</t>
  </si>
  <si>
    <t>Taskala District</t>
  </si>
  <si>
    <t>M12</t>
  </si>
  <si>
    <t>Dzhangalinskiy</t>
  </si>
  <si>
    <t>Akzhaiyk District</t>
  </si>
  <si>
    <t>M13</t>
  </si>
  <si>
    <t>Uralsk city</t>
  </si>
  <si>
    <t>Syrym District</t>
  </si>
  <si>
    <t>N01</t>
  </si>
  <si>
    <t>Suzakskiy</t>
  </si>
  <si>
    <t>Zhanibek District</t>
  </si>
  <si>
    <t>N02</t>
  </si>
  <si>
    <t>Kaztalov District</t>
  </si>
  <si>
    <t>N03</t>
  </si>
  <si>
    <t>Otrarskiy</t>
  </si>
  <si>
    <t>Karatobe District</t>
  </si>
  <si>
    <t>N04</t>
  </si>
  <si>
    <t>Ordabasynskiy</t>
  </si>
  <si>
    <t>Bokey Orda District</t>
  </si>
  <si>
    <t>N05</t>
  </si>
  <si>
    <t>Arysskiy</t>
  </si>
  <si>
    <t>Zhangala District</t>
  </si>
  <si>
    <t>N06</t>
  </si>
  <si>
    <t>Sairamskiy</t>
  </si>
  <si>
    <t>Oral City Administra</t>
  </si>
  <si>
    <t>N07</t>
  </si>
  <si>
    <t>Tyul'kubasskiy</t>
  </si>
  <si>
    <t>Suzak District</t>
  </si>
  <si>
    <t>N08</t>
  </si>
  <si>
    <t>Tolebiyskiy</t>
  </si>
  <si>
    <t>Baidibek District</t>
  </si>
  <si>
    <t>N09</t>
  </si>
  <si>
    <t>Shardarinskiy</t>
  </si>
  <si>
    <t>Otyrar District</t>
  </si>
  <si>
    <t>N10</t>
  </si>
  <si>
    <t>Saryagashskiy</t>
  </si>
  <si>
    <t>Ordabasy District</t>
  </si>
  <si>
    <t>N11</t>
  </si>
  <si>
    <t>Kazygurtskiy</t>
  </si>
  <si>
    <t>Zhetysai District</t>
  </si>
  <si>
    <t>N12</t>
  </si>
  <si>
    <t>Makhtaaral'skiy</t>
  </si>
  <si>
    <t>Sairam District</t>
  </si>
  <si>
    <t>N13</t>
  </si>
  <si>
    <t>Shymkent city</t>
  </si>
  <si>
    <t>Tulkibas District</t>
  </si>
  <si>
    <t>N14</t>
  </si>
  <si>
    <t>Kentau town</t>
  </si>
  <si>
    <t>Tolebi District</t>
  </si>
  <si>
    <t>N15</t>
  </si>
  <si>
    <t>Arys' town</t>
  </si>
  <si>
    <t>Shardara District</t>
  </si>
  <si>
    <t>N16</t>
  </si>
  <si>
    <t>Turkestan town</t>
  </si>
  <si>
    <t>Saryagash District</t>
  </si>
  <si>
    <t>O01</t>
  </si>
  <si>
    <t>Inderskiy</t>
  </si>
  <si>
    <t>Kazygurt District</t>
  </si>
  <si>
    <t>O02</t>
  </si>
  <si>
    <t>Kzyloginskiy</t>
  </si>
  <si>
    <t>Maktaaral District</t>
  </si>
  <si>
    <t>O03</t>
  </si>
  <si>
    <t>Kurmangazinskiy</t>
  </si>
  <si>
    <t>Sauran District</t>
  </si>
  <si>
    <t>O04</t>
  </si>
  <si>
    <t>Isataiyskiy</t>
  </si>
  <si>
    <t>Kentau City Administ</t>
  </si>
  <si>
    <t>O05</t>
  </si>
  <si>
    <t>Makhambetskiy</t>
  </si>
  <si>
    <t>Arys City Administra</t>
  </si>
  <si>
    <t>O06</t>
  </si>
  <si>
    <t>Makatskiy</t>
  </si>
  <si>
    <t>Turkistan City Admin</t>
  </si>
  <si>
    <t>O07</t>
  </si>
  <si>
    <t>Zhylyoiyskiy</t>
  </si>
  <si>
    <t>N17</t>
  </si>
  <si>
    <t>Keles District</t>
  </si>
  <si>
    <t>O08</t>
  </si>
  <si>
    <t>Atyrau city</t>
  </si>
  <si>
    <t>N18</t>
  </si>
  <si>
    <t>Shymkent. Abai Distr</t>
  </si>
  <si>
    <t>P01</t>
  </si>
  <si>
    <t>Osakarovskiy</t>
  </si>
  <si>
    <t>N19</t>
  </si>
  <si>
    <t>P02</t>
  </si>
  <si>
    <t>Nurinskiy</t>
  </si>
  <si>
    <t>N20</t>
  </si>
  <si>
    <t>Shymkent. Enbekshi D</t>
  </si>
  <si>
    <t>P03</t>
  </si>
  <si>
    <t>Bukhar-Zhyrauskiy</t>
  </si>
  <si>
    <t>N21</t>
  </si>
  <si>
    <t>Shymkent. Karatau Di</t>
  </si>
  <si>
    <t>P04</t>
  </si>
  <si>
    <t>N22</t>
  </si>
  <si>
    <t>Shymkent. Turan Dist</t>
  </si>
  <si>
    <t>P05</t>
  </si>
  <si>
    <t>Karkaralinskiy</t>
  </si>
  <si>
    <t>Inder District</t>
  </si>
  <si>
    <t>P06</t>
  </si>
  <si>
    <t>Ulytauskiy</t>
  </si>
  <si>
    <t>Kyzylkoga District</t>
  </si>
  <si>
    <t>P07</t>
  </si>
  <si>
    <t>Zhanaarkinskiy</t>
  </si>
  <si>
    <t>Kurmangazy District</t>
  </si>
  <si>
    <t>P08</t>
  </si>
  <si>
    <t>Shetskiy</t>
  </si>
  <si>
    <t>Isatai District</t>
  </si>
  <si>
    <t>P09</t>
  </si>
  <si>
    <t>Aktogaiyskiy</t>
  </si>
  <si>
    <t>Makhambet District</t>
  </si>
  <si>
    <t>P10</t>
  </si>
  <si>
    <t>Karagandy city</t>
  </si>
  <si>
    <t>Makat District</t>
  </si>
  <si>
    <t>P11</t>
  </si>
  <si>
    <t>Balkhash town</t>
  </si>
  <si>
    <t>Zhylyoi District</t>
  </si>
  <si>
    <t>P12</t>
  </si>
  <si>
    <t>Zhezkazgan city</t>
  </si>
  <si>
    <t>Atyrau City Administ</t>
  </si>
  <si>
    <t>P13</t>
  </si>
  <si>
    <t>Karazhal town</t>
  </si>
  <si>
    <t>Osakarov District</t>
  </si>
  <si>
    <t>P14</t>
  </si>
  <si>
    <t>Priozersk town</t>
  </si>
  <si>
    <t>Nura District</t>
  </si>
  <si>
    <t>P15</t>
  </si>
  <si>
    <t>Saran town</t>
  </si>
  <si>
    <t>Bukhar-Zhyrau Distri</t>
  </si>
  <si>
    <t>P16</t>
  </si>
  <si>
    <t>Satpaev town</t>
  </si>
  <si>
    <t>P17</t>
  </si>
  <si>
    <t>Temirtau town</t>
  </si>
  <si>
    <t>Karkaraly District</t>
  </si>
  <si>
    <t>P18</t>
  </si>
  <si>
    <t>Shakhtinsk town</t>
  </si>
  <si>
    <t>Karaganda. Alikhan B</t>
  </si>
  <si>
    <t>Q01</t>
  </si>
  <si>
    <t>Alakol'skiy</t>
  </si>
  <si>
    <t>Karaganda. Kazybek B</t>
  </si>
  <si>
    <t>Q02</t>
  </si>
  <si>
    <t>Balkhashskiy</t>
  </si>
  <si>
    <t>Shet District</t>
  </si>
  <si>
    <t>Q03</t>
  </si>
  <si>
    <t>Karatal'skiy</t>
  </si>
  <si>
    <t>Q04</t>
  </si>
  <si>
    <t>Aksuiyskiy</t>
  </si>
  <si>
    <t>Priozersk City Admin</t>
  </si>
  <si>
    <t>Q05</t>
  </si>
  <si>
    <t>Sarkandskiy</t>
  </si>
  <si>
    <t>Balkhash City Admini</t>
  </si>
  <si>
    <t>Q06</t>
  </si>
  <si>
    <t>Koksuskiy</t>
  </si>
  <si>
    <t>Saran City Administr</t>
  </si>
  <si>
    <t>Q07</t>
  </si>
  <si>
    <t>Eskel'dinskiy</t>
  </si>
  <si>
    <t>Temirtau City Admini</t>
  </si>
  <si>
    <t>Q08</t>
  </si>
  <si>
    <t>Kerbulakskiy</t>
  </si>
  <si>
    <t>Shakhtinsk City Admi</t>
  </si>
  <si>
    <t>Q09</t>
  </si>
  <si>
    <t>Panfilovskiy</t>
  </si>
  <si>
    <t>Balkhash District</t>
  </si>
  <si>
    <t>Q10</t>
  </si>
  <si>
    <t>Zhambyl'skiy</t>
  </si>
  <si>
    <t>Enbekshikazakh Distr</t>
  </si>
  <si>
    <t>Q11</t>
  </si>
  <si>
    <t>Iliyskiy</t>
  </si>
  <si>
    <t>Q12</t>
  </si>
  <si>
    <t>Karasaiyskiy</t>
  </si>
  <si>
    <t>Kegen District</t>
  </si>
  <si>
    <t>Q13</t>
  </si>
  <si>
    <t>Talgarskiy</t>
  </si>
  <si>
    <t>Karasai District</t>
  </si>
  <si>
    <t>Q14</t>
  </si>
  <si>
    <t>Enbekshikazakhskiy</t>
  </si>
  <si>
    <t>Raimbek District</t>
  </si>
  <si>
    <t>Q15</t>
  </si>
  <si>
    <t>Uiygurskiy</t>
  </si>
  <si>
    <t>Talgar District</t>
  </si>
  <si>
    <t>Q16</t>
  </si>
  <si>
    <t>Raiyimbekskiy</t>
  </si>
  <si>
    <t>Uighur District</t>
  </si>
  <si>
    <t>Q17</t>
  </si>
  <si>
    <t>Taldykorgan city</t>
  </si>
  <si>
    <t>Ili District</t>
  </si>
  <si>
    <t>Q18</t>
  </si>
  <si>
    <t>Kapchagay town</t>
  </si>
  <si>
    <t>Qonaev City Administ</t>
  </si>
  <si>
    <t>Q19</t>
  </si>
  <si>
    <t>Tekeli town</t>
  </si>
  <si>
    <t>Alatau City Administ</t>
  </si>
  <si>
    <t>T01</t>
  </si>
  <si>
    <t>Sarysuskiy</t>
  </si>
  <si>
    <t>R01</t>
  </si>
  <si>
    <t>Zhanaarka District</t>
  </si>
  <si>
    <t>T02</t>
  </si>
  <si>
    <t>Moiynkumskiy</t>
  </si>
  <si>
    <t>R02</t>
  </si>
  <si>
    <t>Ulytau District</t>
  </si>
  <si>
    <t>T03</t>
  </si>
  <si>
    <t>Talasskiy</t>
  </si>
  <si>
    <t>R03</t>
  </si>
  <si>
    <t>Zhezkazgan City Admi</t>
  </si>
  <si>
    <t>T04</t>
  </si>
  <si>
    <t>Bayzakskiy</t>
  </si>
  <si>
    <t>R04</t>
  </si>
  <si>
    <t>Karazhal City Admini</t>
  </si>
  <si>
    <t>T05</t>
  </si>
  <si>
    <t>Turara Ryskulova</t>
  </si>
  <si>
    <t>R05</t>
  </si>
  <si>
    <t>Satpayev City Admini</t>
  </si>
  <si>
    <t>T06</t>
  </si>
  <si>
    <t>Merkenskiy</t>
  </si>
  <si>
    <t>S01</t>
  </si>
  <si>
    <t>Baikonur City Admini</t>
  </si>
  <si>
    <t>T07</t>
  </si>
  <si>
    <t>Shuskiy</t>
  </si>
  <si>
    <t>Sarysu District</t>
  </si>
  <si>
    <t>T08</t>
  </si>
  <si>
    <t>Kordaiskiy</t>
  </si>
  <si>
    <t>Moyynkum District</t>
  </si>
  <si>
    <t>T09</t>
  </si>
  <si>
    <t>Talas District</t>
  </si>
  <si>
    <t>T10</t>
  </si>
  <si>
    <t>Zhualynskiy</t>
  </si>
  <si>
    <t>Baizak District</t>
  </si>
  <si>
    <t>T11</t>
  </si>
  <si>
    <t>Taraz city</t>
  </si>
  <si>
    <t>Turar Ryskulov Distr</t>
  </si>
  <si>
    <t>Z01</t>
  </si>
  <si>
    <t>Almatynskiy</t>
  </si>
  <si>
    <t>Merke District</t>
  </si>
  <si>
    <t>Z02</t>
  </si>
  <si>
    <t>Shu District</t>
  </si>
  <si>
    <t>Z03</t>
  </si>
  <si>
    <t>Saryarkinskiy</t>
  </si>
  <si>
    <t>Kordai District</t>
  </si>
  <si>
    <t>Z04</t>
  </si>
  <si>
    <t>Baykonur</t>
  </si>
  <si>
    <t>Zhualy District</t>
  </si>
  <si>
    <t>Taraz. Aulieata Dist</t>
  </si>
  <si>
    <t>T12</t>
  </si>
  <si>
    <t>V01</t>
  </si>
  <si>
    <t>Aksu District</t>
  </si>
  <si>
    <t>V02</t>
  </si>
  <si>
    <t>Alakol District</t>
  </si>
  <si>
    <t>V03</t>
  </si>
  <si>
    <t>Eskeldi District</t>
  </si>
  <si>
    <t>V04</t>
  </si>
  <si>
    <t>Kerbulak District</t>
  </si>
  <si>
    <t>V05</t>
  </si>
  <si>
    <t>Koksu District</t>
  </si>
  <si>
    <t>V06</t>
  </si>
  <si>
    <t>Karatal District</t>
  </si>
  <si>
    <t>V07</t>
  </si>
  <si>
    <t>Panfilov District</t>
  </si>
  <si>
    <t>V08</t>
  </si>
  <si>
    <t>Sarkan District</t>
  </si>
  <si>
    <t>V09</t>
  </si>
  <si>
    <t>Taldykorgan City Adm</t>
  </si>
  <si>
    <t>V10</t>
  </si>
  <si>
    <t>Tekeli City Administ</t>
  </si>
  <si>
    <t>Astana. Almaty Distr</t>
  </si>
  <si>
    <t>Astana. Esil Distric</t>
  </si>
  <si>
    <t>Astana. Saryarka Dis</t>
  </si>
  <si>
    <t>Astana. Baikonur Dis</t>
  </si>
  <si>
    <t>Z05</t>
  </si>
  <si>
    <t>Astana. Nura Distric</t>
  </si>
  <si>
    <t>Z06</t>
  </si>
  <si>
    <t>Astana. Sarayshyk Di</t>
  </si>
  <si>
    <t>Old</t>
  </si>
  <si>
    <t>New</t>
  </si>
  <si>
    <t>District of Baydibek</t>
  </si>
  <si>
    <t>Shymkent. Al-Farabi</t>
  </si>
  <si>
    <t>Taraz. Zhibek Zholy</t>
  </si>
  <si>
    <t>Ignore</t>
  </si>
  <si>
    <t>Convert</t>
  </si>
  <si>
    <t>Old district</t>
  </si>
  <si>
    <t>New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</si>
</sst>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F3C4B7-E9FA-437E-9D09-E0181D1EB9DA}" name="Tabell1" displayName="Tabell1" ref="A1:F245" totalsRowShown="0" headerRowDxfId="0">
  <autoFilter ref="A1:F245" xr:uid="{15F3C4B7-E9FA-437E-9D09-E0181D1EB9DA}"/>
  <sortState xmlns:xlrd2="http://schemas.microsoft.com/office/spreadsheetml/2017/richdata2" ref="A2:F245">
    <sortCondition ref="C1:C245"/>
  </sortState>
  <tableColumns count="6">
    <tableColumn id="1" xr3:uid="{6E54EF53-A8D4-4F7D-AA3E-A9291F427D7F}" name="Old"/>
    <tableColumn id="2" xr3:uid="{52A218FA-0820-44D8-9A4B-54BC2AD5A368}" name="Old district"/>
    <tableColumn id="3" xr3:uid="{255E7016-57A8-43A3-A75C-6D09C90FCC2B}" name="New"/>
    <tableColumn id="4" xr3:uid="{760C3BA3-EDE2-4A15-9CA6-919D621FA248}" name="New district"/>
    <tableColumn id="5" xr3:uid="{1F55EAD5-CC38-49F5-9D31-2D9AD9DCAC8C}" name="Convert" dataDxfId="2">
      <calculatedColumnFormula>IF(AND(A2&lt;&gt;C2,A2&lt;&gt;"",C2&lt;&gt;""),"Conv","")</calculatedColumnFormula>
    </tableColumn>
    <tableColumn id="6" xr3:uid="{E56E64F5-50BE-4D11-AC33-F8E0B35B3756}" name="Ignore" dataDxfId="1">
      <calculatedColumnFormula>IF(AND(A2&lt;&gt;C2,A2&lt;&gt;"",C2=""),"Ignore","")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6DD43-EC1F-4DCB-B3EE-6A288DAC8DBB}">
  <dimension ref="A1:F245"/>
  <sheetViews>
    <sheetView tabSelected="1" topLeftCell="A189" workbookViewId="0">
      <selection activeCell="E183" sqref="E183"/>
    </sheetView>
  </sheetViews>
  <sheetFormatPr defaultRowHeight="15" x14ac:dyDescent="0.25"/>
  <cols>
    <col min="1" max="1" width="11" customWidth="1"/>
    <col min="2" max="2" width="22.42578125" bestFit="1" customWidth="1"/>
    <col min="3" max="3" width="11" customWidth="1"/>
    <col min="4" max="4" width="22.7109375" bestFit="1" customWidth="1"/>
    <col min="5" max="5" width="12.28515625" bestFit="1" customWidth="1"/>
    <col min="6" max="6" width="11" customWidth="1"/>
  </cols>
  <sheetData>
    <row r="1" spans="1:6" x14ac:dyDescent="0.25">
      <c r="A1" s="3" t="s">
        <v>1125</v>
      </c>
      <c r="B1" s="3" t="s">
        <v>1132</v>
      </c>
      <c r="C1" s="3" t="s">
        <v>1126</v>
      </c>
      <c r="D1" s="3" t="s">
        <v>1133</v>
      </c>
      <c r="E1" t="s">
        <v>1131</v>
      </c>
      <c r="F1" t="s">
        <v>1130</v>
      </c>
    </row>
    <row r="2" spans="1:6" x14ac:dyDescent="0.25">
      <c r="A2" t="s">
        <v>443</v>
      </c>
      <c r="B2" t="s">
        <v>444</v>
      </c>
      <c r="C2" t="s">
        <v>443</v>
      </c>
      <c r="D2" t="s">
        <v>445</v>
      </c>
      <c r="E2" s="2" t="str">
        <f>IF(AND(A2&lt;&gt;C2,A2&lt;&gt;"",C2&lt;&gt;""),"Conv","")</f>
        <v/>
      </c>
      <c r="F2" s="2" t="str">
        <f>IF(AND(A2&lt;&gt;C2,A2&lt;&gt;"",C2=""),"Ignore","")</f>
        <v/>
      </c>
    </row>
    <row r="3" spans="1:6" x14ac:dyDescent="0.25">
      <c r="A3" t="s">
        <v>446</v>
      </c>
      <c r="B3" t="s">
        <v>447</v>
      </c>
      <c r="C3" t="s">
        <v>446</v>
      </c>
      <c r="D3" t="s">
        <v>448</v>
      </c>
      <c r="E3" s="2" t="str">
        <f>IF(AND(A3&lt;&gt;C3,A3&lt;&gt;"",C3&lt;&gt;""),"Conv","")</f>
        <v/>
      </c>
      <c r="F3" s="2" t="str">
        <f>IF(AND(A3&lt;&gt;C3,A3&lt;&gt;"",C3=""),"Ignore","")</f>
        <v/>
      </c>
    </row>
    <row r="4" spans="1:6" x14ac:dyDescent="0.25">
      <c r="A4" t="s">
        <v>449</v>
      </c>
      <c r="B4" t="s">
        <v>450</v>
      </c>
      <c r="C4" t="s">
        <v>449</v>
      </c>
      <c r="D4" t="s">
        <v>451</v>
      </c>
      <c r="E4" s="2" t="str">
        <f>IF(AND(A4&lt;&gt;C4,A4&lt;&gt;"",C4&lt;&gt;""),"Conv","")</f>
        <v/>
      </c>
      <c r="F4" s="2" t="str">
        <f>IF(AND(A4&lt;&gt;C4,A4&lt;&gt;"",C4=""),"Ignore","")</f>
        <v/>
      </c>
    </row>
    <row r="5" spans="1:6" x14ac:dyDescent="0.25">
      <c r="A5" t="s">
        <v>452</v>
      </c>
      <c r="B5" t="s">
        <v>453</v>
      </c>
      <c r="C5" t="s">
        <v>452</v>
      </c>
      <c r="D5" t="s">
        <v>454</v>
      </c>
      <c r="E5" s="2" t="str">
        <f>IF(AND(A5&lt;&gt;C5,A5&lt;&gt;"",C5&lt;&gt;""),"Conv","")</f>
        <v/>
      </c>
      <c r="F5" s="2" t="str">
        <f>IF(AND(A5&lt;&gt;C5,A5&lt;&gt;"",C5=""),"Ignore","")</f>
        <v/>
      </c>
    </row>
    <row r="6" spans="1:6" x14ac:dyDescent="0.25">
      <c r="A6" t="s">
        <v>455</v>
      </c>
      <c r="B6" t="s">
        <v>456</v>
      </c>
      <c r="C6" t="s">
        <v>455</v>
      </c>
      <c r="D6" t="s">
        <v>457</v>
      </c>
      <c r="E6" s="2" t="str">
        <f>IF(AND(A6&lt;&gt;C6,A6&lt;&gt;"",C6&lt;&gt;""),"Conv","")</f>
        <v/>
      </c>
      <c r="F6" s="2" t="str">
        <f>IF(AND(A6&lt;&gt;C6,A6&lt;&gt;"",C6=""),"Ignore","")</f>
        <v/>
      </c>
    </row>
    <row r="7" spans="1:6" x14ac:dyDescent="0.25">
      <c r="A7" t="s">
        <v>458</v>
      </c>
      <c r="B7" t="s">
        <v>459</v>
      </c>
      <c r="C7" t="s">
        <v>458</v>
      </c>
      <c r="D7" t="s">
        <v>460</v>
      </c>
      <c r="E7" s="2" t="str">
        <f>IF(AND(A7&lt;&gt;C7,A7&lt;&gt;"",C7&lt;&gt;""),"Conv","")</f>
        <v/>
      </c>
      <c r="F7" s="2" t="str">
        <f>IF(AND(A7&lt;&gt;C7,A7&lt;&gt;"",C7=""),"Ignore","")</f>
        <v/>
      </c>
    </row>
    <row r="8" spans="1:6" x14ac:dyDescent="0.25">
      <c r="C8" t="s">
        <v>463</v>
      </c>
      <c r="D8" t="s">
        <v>464</v>
      </c>
      <c r="E8" s="2" t="str">
        <f>IF(AND(A8&lt;&gt;C8,A8&lt;&gt;"",C8&lt;&gt;""),"Conv","")</f>
        <v/>
      </c>
      <c r="F8" s="2" t="str">
        <f>IF(AND(A8&lt;&gt;C8,A8&lt;&gt;"",C8=""),"Ignore","")</f>
        <v/>
      </c>
    </row>
    <row r="9" spans="1:6" x14ac:dyDescent="0.25">
      <c r="A9" s="1" t="s">
        <v>461</v>
      </c>
      <c r="B9" t="s">
        <v>462</v>
      </c>
      <c r="C9" t="s">
        <v>461</v>
      </c>
      <c r="D9" t="s">
        <v>467</v>
      </c>
      <c r="E9" s="2" t="str">
        <f>IF(AND(A9&lt;&gt;C9,A9&lt;&gt;"",C9&lt;&gt;""),"Conv","")</f>
        <v/>
      </c>
      <c r="F9" s="2" t="str">
        <f>IF(AND(A9&lt;&gt;C9,A9&lt;&gt;"",C9=""),"Ignore","")</f>
        <v/>
      </c>
    </row>
    <row r="10" spans="1:6" x14ac:dyDescent="0.25">
      <c r="A10" t="s">
        <v>465</v>
      </c>
      <c r="B10" t="s">
        <v>466</v>
      </c>
      <c r="C10" t="s">
        <v>465</v>
      </c>
      <c r="D10" t="s">
        <v>470</v>
      </c>
      <c r="E10" s="2" t="str">
        <f>IF(AND(A10&lt;&gt;C10,A10&lt;&gt;"",C10&lt;&gt;""),"Conv","")</f>
        <v/>
      </c>
      <c r="F10" s="2" t="str">
        <f>IF(AND(A10&lt;&gt;C10,A10&lt;&gt;"",C10=""),"Ignore","")</f>
        <v/>
      </c>
    </row>
    <row r="11" spans="1:6" x14ac:dyDescent="0.25">
      <c r="A11" t="s">
        <v>468</v>
      </c>
      <c r="B11" t="s">
        <v>469</v>
      </c>
      <c r="C11" t="s">
        <v>468</v>
      </c>
      <c r="D11" t="s">
        <v>473</v>
      </c>
      <c r="E11" s="2" t="str">
        <f>IF(AND(A11&lt;&gt;C11,A11&lt;&gt;"",C11&lt;&gt;""),"Conv","")</f>
        <v/>
      </c>
      <c r="F11" s="2" t="str">
        <f>IF(AND(A11&lt;&gt;C11,A11&lt;&gt;"",C11=""),"Ignore","")</f>
        <v/>
      </c>
    </row>
    <row r="12" spans="1:6" x14ac:dyDescent="0.25">
      <c r="A12" t="s">
        <v>471</v>
      </c>
      <c r="B12" t="s">
        <v>472</v>
      </c>
      <c r="C12" t="s">
        <v>471</v>
      </c>
      <c r="D12" t="s">
        <v>476</v>
      </c>
      <c r="E12" s="2" t="str">
        <f>IF(AND(A12&lt;&gt;C12,A12&lt;&gt;"",C12&lt;&gt;""),"Conv","")</f>
        <v/>
      </c>
      <c r="F12" s="2" t="str">
        <f>IF(AND(A12&lt;&gt;C12,A12&lt;&gt;"",C12=""),"Ignore","")</f>
        <v/>
      </c>
    </row>
    <row r="13" spans="1:6" x14ac:dyDescent="0.25">
      <c r="A13" t="s">
        <v>474</v>
      </c>
      <c r="B13" t="s">
        <v>475</v>
      </c>
      <c r="C13" t="s">
        <v>474</v>
      </c>
      <c r="D13" t="s">
        <v>479</v>
      </c>
      <c r="E13" s="2" t="str">
        <f>IF(AND(A13&lt;&gt;C13,A13&lt;&gt;"",C13&lt;&gt;""),"Conv","")</f>
        <v/>
      </c>
      <c r="F13" s="2" t="str">
        <f>IF(AND(A13&lt;&gt;C13,A13&lt;&gt;"",C13=""),"Ignore","")</f>
        <v/>
      </c>
    </row>
    <row r="14" spans="1:6" x14ac:dyDescent="0.25">
      <c r="A14" t="s">
        <v>477</v>
      </c>
      <c r="B14" t="s">
        <v>478</v>
      </c>
      <c r="C14" t="s">
        <v>477</v>
      </c>
      <c r="D14" t="s">
        <v>482</v>
      </c>
      <c r="E14" s="2" t="str">
        <f>IF(AND(A14&lt;&gt;C14,A14&lt;&gt;"",C14&lt;&gt;""),"Conv","")</f>
        <v/>
      </c>
      <c r="F14" s="2" t="str">
        <f>IF(AND(A14&lt;&gt;C14,A14&lt;&gt;"",C14=""),"Ignore","")</f>
        <v/>
      </c>
    </row>
    <row r="15" spans="1:6" x14ac:dyDescent="0.25">
      <c r="A15" t="s">
        <v>480</v>
      </c>
      <c r="B15" t="s">
        <v>481</v>
      </c>
      <c r="C15" t="s">
        <v>480</v>
      </c>
      <c r="D15" t="s">
        <v>485</v>
      </c>
      <c r="E15" s="2" t="str">
        <f>IF(AND(A15&lt;&gt;C15,A15&lt;&gt;"",C15&lt;&gt;""),"Conv","")</f>
        <v/>
      </c>
      <c r="F15" s="2" t="str">
        <f>IF(AND(A15&lt;&gt;C15,A15&lt;&gt;"",C15=""),"Ignore","")</f>
        <v/>
      </c>
    </row>
    <row r="16" spans="1:6" x14ac:dyDescent="0.25">
      <c r="A16" t="s">
        <v>483</v>
      </c>
      <c r="B16" t="s">
        <v>484</v>
      </c>
      <c r="C16" t="s">
        <v>483</v>
      </c>
      <c r="D16" t="s">
        <v>488</v>
      </c>
      <c r="E16" s="2" t="str">
        <f>IF(AND(A16&lt;&gt;C16,A16&lt;&gt;"",C16&lt;&gt;""),"Conv","")</f>
        <v/>
      </c>
      <c r="F16" s="2" t="str">
        <f>IF(AND(A16&lt;&gt;C16,A16&lt;&gt;"",C16=""),"Ignore","")</f>
        <v/>
      </c>
    </row>
    <row r="17" spans="1:6" x14ac:dyDescent="0.25">
      <c r="A17" t="s">
        <v>486</v>
      </c>
      <c r="B17" t="s">
        <v>487</v>
      </c>
      <c r="C17" t="s">
        <v>486</v>
      </c>
      <c r="D17" t="s">
        <v>491</v>
      </c>
      <c r="E17" s="2" t="str">
        <f>IF(AND(A17&lt;&gt;C17,A17&lt;&gt;"",C17&lt;&gt;""),"Conv","")</f>
        <v/>
      </c>
      <c r="F17" s="2" t="str">
        <f>IF(AND(A17&lt;&gt;C17,A17&lt;&gt;"",C17=""),"Ignore","")</f>
        <v/>
      </c>
    </row>
    <row r="18" spans="1:6" x14ac:dyDescent="0.25">
      <c r="A18" t="s">
        <v>489</v>
      </c>
      <c r="B18" t="s">
        <v>490</v>
      </c>
      <c r="C18" t="s">
        <v>489</v>
      </c>
      <c r="D18" t="s">
        <v>494</v>
      </c>
      <c r="E18" s="2" t="str">
        <f>IF(AND(A18&lt;&gt;C18,A18&lt;&gt;"",C18&lt;&gt;""),"Conv","")</f>
        <v/>
      </c>
      <c r="F18" s="2" t="str">
        <f>IF(AND(A18&lt;&gt;C18,A18&lt;&gt;"",C18=""),"Ignore","")</f>
        <v/>
      </c>
    </row>
    <row r="19" spans="1:6" x14ac:dyDescent="0.25">
      <c r="A19" t="s">
        <v>492</v>
      </c>
      <c r="B19" t="s">
        <v>493</v>
      </c>
      <c r="C19" t="s">
        <v>492</v>
      </c>
      <c r="D19" t="s">
        <v>497</v>
      </c>
      <c r="E19" s="2" t="str">
        <f>IF(AND(A19&lt;&gt;C19,A19&lt;&gt;"",C19&lt;&gt;""),"Conv","")</f>
        <v/>
      </c>
      <c r="F19" s="2" t="str">
        <f>IF(AND(A19&lt;&gt;C19,A19&lt;&gt;"",C19=""),"Ignore","")</f>
        <v/>
      </c>
    </row>
    <row r="20" spans="1:6" x14ac:dyDescent="0.25">
      <c r="A20" t="s">
        <v>495</v>
      </c>
      <c r="B20" t="s">
        <v>496</v>
      </c>
      <c r="C20" t="s">
        <v>495</v>
      </c>
      <c r="D20" t="s">
        <v>500</v>
      </c>
      <c r="E20" s="2" t="str">
        <f>IF(AND(A20&lt;&gt;C20,A20&lt;&gt;"",C20&lt;&gt;""),"Conv","")</f>
        <v/>
      </c>
      <c r="F20" s="2" t="str">
        <f>IF(AND(A20&lt;&gt;C20,A20&lt;&gt;"",C20=""),"Ignore","")</f>
        <v/>
      </c>
    </row>
    <row r="21" spans="1:6" x14ac:dyDescent="0.25">
      <c r="A21" t="s">
        <v>498</v>
      </c>
      <c r="B21" t="s">
        <v>499</v>
      </c>
      <c r="C21" t="s">
        <v>498</v>
      </c>
      <c r="D21" t="s">
        <v>503</v>
      </c>
      <c r="E21" s="2" t="str">
        <f>IF(AND(A21&lt;&gt;C21,A21&lt;&gt;"",C21&lt;&gt;""),"Conv","")</f>
        <v/>
      </c>
      <c r="F21" s="2" t="str">
        <f>IF(AND(A21&lt;&gt;C21,A21&lt;&gt;"",C21=""),"Ignore","")</f>
        <v/>
      </c>
    </row>
    <row r="22" spans="1:6" x14ac:dyDescent="0.25">
      <c r="A22" t="s">
        <v>501</v>
      </c>
      <c r="B22" t="s">
        <v>502</v>
      </c>
      <c r="C22" t="s">
        <v>501</v>
      </c>
      <c r="D22" t="s">
        <v>506</v>
      </c>
      <c r="E22" s="2" t="str">
        <f>IF(AND(A22&lt;&gt;C22,A22&lt;&gt;"",C22&lt;&gt;""),"Conv","")</f>
        <v/>
      </c>
      <c r="F22" s="2" t="str">
        <f>IF(AND(A22&lt;&gt;C22,A22&lt;&gt;"",C22=""),"Ignore","")</f>
        <v/>
      </c>
    </row>
    <row r="23" spans="1:6" x14ac:dyDescent="0.25">
      <c r="A23" t="s">
        <v>504</v>
      </c>
      <c r="B23" t="s">
        <v>505</v>
      </c>
      <c r="C23" t="s">
        <v>504</v>
      </c>
      <c r="D23" t="s">
        <v>509</v>
      </c>
      <c r="E23" s="2" t="str">
        <f>IF(AND(A23&lt;&gt;C23,A23&lt;&gt;"",C23&lt;&gt;""),"Conv","")</f>
        <v/>
      </c>
      <c r="F23" s="2" t="str">
        <f>IF(AND(A23&lt;&gt;C23,A23&lt;&gt;"",C23=""),"Ignore","")</f>
        <v/>
      </c>
    </row>
    <row r="24" spans="1:6" x14ac:dyDescent="0.25">
      <c r="A24" t="s">
        <v>507</v>
      </c>
      <c r="B24" t="s">
        <v>508</v>
      </c>
      <c r="C24" t="s">
        <v>507</v>
      </c>
      <c r="D24" t="s">
        <v>512</v>
      </c>
      <c r="E24" s="2" t="str">
        <f>IF(AND(A24&lt;&gt;C24,A24&lt;&gt;"",C24&lt;&gt;""),"Conv","")</f>
        <v/>
      </c>
      <c r="F24" s="2" t="str">
        <f>IF(AND(A24&lt;&gt;C24,A24&lt;&gt;"",C24=""),"Ignore","")</f>
        <v/>
      </c>
    </row>
    <row r="25" spans="1:6" x14ac:dyDescent="0.25">
      <c r="A25" t="s">
        <v>510</v>
      </c>
      <c r="B25" t="s">
        <v>511</v>
      </c>
      <c r="C25" t="s">
        <v>510</v>
      </c>
      <c r="D25" t="s">
        <v>515</v>
      </c>
      <c r="E25" s="2" t="str">
        <f>IF(AND(A25&lt;&gt;C25,A25&lt;&gt;"",C25&lt;&gt;""),"Conv","")</f>
        <v/>
      </c>
      <c r="F25" s="2" t="str">
        <f>IF(AND(A25&lt;&gt;C25,A25&lt;&gt;"",C25=""),"Ignore","")</f>
        <v/>
      </c>
    </row>
    <row r="26" spans="1:6" x14ac:dyDescent="0.25">
      <c r="A26" t="s">
        <v>513</v>
      </c>
      <c r="B26" t="s">
        <v>514</v>
      </c>
      <c r="C26" t="s">
        <v>513</v>
      </c>
      <c r="D26" t="s">
        <v>518</v>
      </c>
      <c r="E26" s="2" t="str">
        <f>IF(AND(A26&lt;&gt;C26,A26&lt;&gt;"",C26&lt;&gt;""),"Conv","")</f>
        <v/>
      </c>
      <c r="F26" s="2" t="str">
        <f>IF(AND(A26&lt;&gt;C26,A26&lt;&gt;"",C26=""),"Ignore","")</f>
        <v/>
      </c>
    </row>
    <row r="27" spans="1:6" x14ac:dyDescent="0.25">
      <c r="A27" t="s">
        <v>516</v>
      </c>
      <c r="B27" t="s">
        <v>517</v>
      </c>
      <c r="C27" t="s">
        <v>516</v>
      </c>
      <c r="D27" t="s">
        <v>521</v>
      </c>
      <c r="E27" s="2" t="str">
        <f>IF(AND(A27&lt;&gt;C27,A27&lt;&gt;"",C27&lt;&gt;""),"Conv","")</f>
        <v/>
      </c>
      <c r="F27" s="2" t="str">
        <f>IF(AND(A27&lt;&gt;C27,A27&lt;&gt;"",C27=""),"Ignore","")</f>
        <v/>
      </c>
    </row>
    <row r="28" spans="1:6" x14ac:dyDescent="0.25">
      <c r="C28" t="s">
        <v>524</v>
      </c>
      <c r="D28" t="s">
        <v>525</v>
      </c>
      <c r="E28" s="2" t="str">
        <f>IF(AND(A28&lt;&gt;C28,A28&lt;&gt;"",C28&lt;&gt;""),"Conv","")</f>
        <v/>
      </c>
      <c r="F28" s="2" t="str">
        <f>IF(AND(A28&lt;&gt;C28,A28&lt;&gt;"",C28=""),"Ignore","")</f>
        <v/>
      </c>
    </row>
    <row r="29" spans="1:6" x14ac:dyDescent="0.25">
      <c r="A29" t="s">
        <v>519</v>
      </c>
      <c r="B29" t="s">
        <v>520</v>
      </c>
      <c r="C29" t="s">
        <v>519</v>
      </c>
      <c r="D29" t="s">
        <v>528</v>
      </c>
      <c r="E29" s="2" t="str">
        <f>IF(AND(A29&lt;&gt;C29,A29&lt;&gt;"",C29&lt;&gt;""),"Conv","")</f>
        <v/>
      </c>
      <c r="F29" s="2" t="str">
        <f>IF(AND(A29&lt;&gt;C29,A29&lt;&gt;"",C29=""),"Ignore","")</f>
        <v/>
      </c>
    </row>
    <row r="30" spans="1:6" x14ac:dyDescent="0.25">
      <c r="A30" t="s">
        <v>522</v>
      </c>
      <c r="B30" t="s">
        <v>523</v>
      </c>
      <c r="C30" t="s">
        <v>522</v>
      </c>
      <c r="D30" t="s">
        <v>530</v>
      </c>
      <c r="E30" s="2" t="str">
        <f>IF(AND(A30&lt;&gt;C30,A30&lt;&gt;"",C30&lt;&gt;""),"Conv","")</f>
        <v/>
      </c>
      <c r="F30" s="2" t="str">
        <f>IF(AND(A30&lt;&gt;C30,A30&lt;&gt;"",C30=""),"Ignore","")</f>
        <v/>
      </c>
    </row>
    <row r="31" spans="1:6" x14ac:dyDescent="0.25">
      <c r="A31" t="s">
        <v>526</v>
      </c>
      <c r="B31" t="s">
        <v>527</v>
      </c>
      <c r="C31" t="s">
        <v>526</v>
      </c>
      <c r="D31" t="s">
        <v>532</v>
      </c>
      <c r="E31" s="2" t="str">
        <f>IF(AND(A31&lt;&gt;C31,A31&lt;&gt;"",C31&lt;&gt;""),"Conv","")</f>
        <v/>
      </c>
      <c r="F31" s="2" t="str">
        <f>IF(AND(A31&lt;&gt;C31,A31&lt;&gt;"",C31=""),"Ignore","")</f>
        <v/>
      </c>
    </row>
    <row r="32" spans="1:6" x14ac:dyDescent="0.25">
      <c r="A32" t="s">
        <v>529</v>
      </c>
      <c r="B32" t="s">
        <v>1018</v>
      </c>
      <c r="C32" t="s">
        <v>529</v>
      </c>
      <c r="D32" t="s">
        <v>535</v>
      </c>
      <c r="E32" s="2" t="str">
        <f>IF(AND(A32&lt;&gt;C32,A32&lt;&gt;"",C32&lt;&gt;""),"Conv","")</f>
        <v/>
      </c>
      <c r="F32" s="2" t="str">
        <f>IF(AND(A32&lt;&gt;C32,A32&lt;&gt;"",C32=""),"Ignore","")</f>
        <v/>
      </c>
    </row>
    <row r="33" spans="1:6" x14ac:dyDescent="0.25">
      <c r="A33" t="s">
        <v>531</v>
      </c>
      <c r="B33" t="s">
        <v>484</v>
      </c>
      <c r="C33" t="s">
        <v>531</v>
      </c>
      <c r="D33" t="s">
        <v>488</v>
      </c>
      <c r="E33" s="2" t="str">
        <f>IF(AND(A33&lt;&gt;C33,A33&lt;&gt;"",C33&lt;&gt;""),"Conv","")</f>
        <v/>
      </c>
      <c r="F33" s="2" t="str">
        <f>IF(AND(A33&lt;&gt;C33,A33&lt;&gt;"",C33=""),"Ignore","")</f>
        <v/>
      </c>
    </row>
    <row r="34" spans="1:6" x14ac:dyDescent="0.25">
      <c r="A34" t="s">
        <v>533</v>
      </c>
      <c r="B34" t="s">
        <v>534</v>
      </c>
      <c r="C34" t="s">
        <v>533</v>
      </c>
      <c r="D34" t="s">
        <v>540</v>
      </c>
      <c r="E34" s="2" t="str">
        <f>IF(AND(A34&lt;&gt;C34,A34&lt;&gt;"",C34&lt;&gt;""),"Conv","")</f>
        <v/>
      </c>
      <c r="F34" s="2" t="str">
        <f>IF(AND(A34&lt;&gt;C34,A34&lt;&gt;"",C34=""),"Ignore","")</f>
        <v/>
      </c>
    </row>
    <row r="35" spans="1:6" x14ac:dyDescent="0.25">
      <c r="A35" t="s">
        <v>536</v>
      </c>
      <c r="B35" t="s">
        <v>537</v>
      </c>
      <c r="C35" t="s">
        <v>536</v>
      </c>
      <c r="D35" t="s">
        <v>543</v>
      </c>
      <c r="E35" s="2" t="str">
        <f>IF(AND(A35&lt;&gt;C35,A35&lt;&gt;"",C35&lt;&gt;""),"Conv","")</f>
        <v/>
      </c>
      <c r="F35" s="2" t="str">
        <f>IF(AND(A35&lt;&gt;C35,A35&lt;&gt;"",C35=""),"Ignore","")</f>
        <v/>
      </c>
    </row>
    <row r="36" spans="1:6" x14ac:dyDescent="0.25">
      <c r="A36" t="s">
        <v>538</v>
      </c>
      <c r="B36" t="s">
        <v>539</v>
      </c>
      <c r="C36" t="s">
        <v>538</v>
      </c>
      <c r="D36" t="s">
        <v>546</v>
      </c>
      <c r="E36" s="2" t="str">
        <f>IF(AND(A36&lt;&gt;C36,A36&lt;&gt;"",C36&lt;&gt;""),"Conv","")</f>
        <v/>
      </c>
      <c r="F36" s="2" t="str">
        <f>IF(AND(A36&lt;&gt;C36,A36&lt;&gt;"",C36=""),"Ignore","")</f>
        <v/>
      </c>
    </row>
    <row r="37" spans="1:6" x14ac:dyDescent="0.25">
      <c r="A37" t="s">
        <v>541</v>
      </c>
      <c r="B37" t="s">
        <v>542</v>
      </c>
      <c r="C37" t="s">
        <v>541</v>
      </c>
      <c r="D37" t="s">
        <v>549</v>
      </c>
      <c r="E37" s="2" t="str">
        <f>IF(AND(A37&lt;&gt;C37,A37&lt;&gt;"",C37&lt;&gt;""),"Conv","")</f>
        <v/>
      </c>
      <c r="F37" s="2" t="str">
        <f>IF(AND(A37&lt;&gt;C37,A37&lt;&gt;"",C37=""),"Ignore","")</f>
        <v/>
      </c>
    </row>
    <row r="38" spans="1:6" x14ac:dyDescent="0.25">
      <c r="A38" t="s">
        <v>544</v>
      </c>
      <c r="B38" t="s">
        <v>545</v>
      </c>
      <c r="C38" t="s">
        <v>544</v>
      </c>
      <c r="D38" t="s">
        <v>552</v>
      </c>
      <c r="E38" s="2" t="str">
        <f>IF(AND(A38&lt;&gt;C38,A38&lt;&gt;"",C38&lt;&gt;""),"Conv","")</f>
        <v/>
      </c>
      <c r="F38" s="2" t="str">
        <f>IF(AND(A38&lt;&gt;C38,A38&lt;&gt;"",C38=""),"Ignore","")</f>
        <v/>
      </c>
    </row>
    <row r="39" spans="1:6" x14ac:dyDescent="0.25">
      <c r="A39" t="s">
        <v>547</v>
      </c>
      <c r="B39" t="s">
        <v>548</v>
      </c>
      <c r="C39" t="s">
        <v>547</v>
      </c>
      <c r="D39" t="s">
        <v>555</v>
      </c>
      <c r="E39" s="2" t="str">
        <f>IF(AND(A39&lt;&gt;C39,A39&lt;&gt;"",C39&lt;&gt;""),"Conv","")</f>
        <v/>
      </c>
      <c r="F39" s="2" t="str">
        <f>IF(AND(A39&lt;&gt;C39,A39&lt;&gt;"",C39=""),"Ignore","")</f>
        <v/>
      </c>
    </row>
    <row r="40" spans="1:6" x14ac:dyDescent="0.25">
      <c r="A40" t="s">
        <v>550</v>
      </c>
      <c r="B40" t="s">
        <v>551</v>
      </c>
      <c r="C40" t="s">
        <v>550</v>
      </c>
      <c r="D40" t="s">
        <v>558</v>
      </c>
      <c r="E40" s="2" t="str">
        <f>IF(AND(A40&lt;&gt;C40,A40&lt;&gt;"",C40&lt;&gt;""),"Conv","")</f>
        <v/>
      </c>
      <c r="F40" s="2" t="str">
        <f>IF(AND(A40&lt;&gt;C40,A40&lt;&gt;"",C40=""),"Ignore","")</f>
        <v/>
      </c>
    </row>
    <row r="41" spans="1:6" x14ac:dyDescent="0.25">
      <c r="A41" t="s">
        <v>553</v>
      </c>
      <c r="B41" t="s">
        <v>554</v>
      </c>
      <c r="C41" t="s">
        <v>553</v>
      </c>
      <c r="D41" t="s">
        <v>561</v>
      </c>
      <c r="E41" s="2" t="str">
        <f>IF(AND(A41&lt;&gt;C41,A41&lt;&gt;"",C41&lt;&gt;""),"Conv","")</f>
        <v/>
      </c>
      <c r="F41" s="2" t="str">
        <f>IF(AND(A41&lt;&gt;C41,A41&lt;&gt;"",C41=""),"Ignore","")</f>
        <v/>
      </c>
    </row>
    <row r="42" spans="1:6" x14ac:dyDescent="0.25">
      <c r="A42" t="s">
        <v>556</v>
      </c>
      <c r="B42" t="s">
        <v>557</v>
      </c>
      <c r="C42" t="s">
        <v>556</v>
      </c>
      <c r="D42" t="s">
        <v>564</v>
      </c>
      <c r="E42" s="2" t="str">
        <f>IF(AND(A42&lt;&gt;C42,A42&lt;&gt;"",C42&lt;&gt;""),"Conv","")</f>
        <v/>
      </c>
      <c r="F42" s="2" t="str">
        <f>IF(AND(A42&lt;&gt;C42,A42&lt;&gt;"",C42=""),"Ignore","")</f>
        <v/>
      </c>
    </row>
    <row r="43" spans="1:6" x14ac:dyDescent="0.25">
      <c r="A43" t="s">
        <v>694</v>
      </c>
      <c r="B43" t="s">
        <v>695</v>
      </c>
      <c r="C43" t="s">
        <v>567</v>
      </c>
      <c r="D43" t="s">
        <v>568</v>
      </c>
      <c r="E43" s="2" t="str">
        <f>IF(AND(A43&lt;&gt;C43,A43&lt;&gt;"",C43&lt;&gt;""),"Conv","")</f>
        <v>Conv</v>
      </c>
      <c r="F43" s="2" t="str">
        <f>IF(AND(A43&lt;&gt;C43,A43&lt;&gt;"",C43=""),"Ignore","")</f>
        <v/>
      </c>
    </row>
    <row r="44" spans="1:6" x14ac:dyDescent="0.25">
      <c r="C44" t="s">
        <v>571</v>
      </c>
      <c r="D44" t="s">
        <v>572</v>
      </c>
      <c r="E44" s="2" t="str">
        <f>IF(AND(A44&lt;&gt;C44,A44&lt;&gt;"",C44&lt;&gt;""),"Conv","")</f>
        <v/>
      </c>
      <c r="F44" s="2" t="str">
        <f>IF(AND(A44&lt;&gt;C44,A44&lt;&gt;"",C44=""),"Ignore","")</f>
        <v/>
      </c>
    </row>
    <row r="45" spans="1:6" x14ac:dyDescent="0.25">
      <c r="A45" t="s">
        <v>706</v>
      </c>
      <c r="B45" t="s">
        <v>707</v>
      </c>
      <c r="C45" t="s">
        <v>575</v>
      </c>
      <c r="D45" t="s">
        <v>576</v>
      </c>
      <c r="E45" s="2" t="str">
        <f>IF(AND(A45&lt;&gt;C45,A45&lt;&gt;"",C45&lt;&gt;""),"Conv","")</f>
        <v>Conv</v>
      </c>
      <c r="F45" s="2" t="str">
        <f>IF(AND(A45&lt;&gt;C45,A45&lt;&gt;"",C45=""),"Ignore","")</f>
        <v/>
      </c>
    </row>
    <row r="46" spans="1:6" x14ac:dyDescent="0.25">
      <c r="A46" t="s">
        <v>722</v>
      </c>
      <c r="B46" t="s">
        <v>723</v>
      </c>
      <c r="C46" t="s">
        <v>575</v>
      </c>
      <c r="D46" t="s">
        <v>576</v>
      </c>
      <c r="E46" s="2" t="str">
        <f>IF(AND(A46&lt;&gt;C46,A46&lt;&gt;"",C46&lt;&gt;""),"Conv","")</f>
        <v>Conv</v>
      </c>
      <c r="F46" s="2" t="str">
        <f>IF(AND(A46&lt;&gt;C46,A46&lt;&gt;"",C46=""),"Ignore","")</f>
        <v/>
      </c>
    </row>
    <row r="47" spans="1:6" x14ac:dyDescent="0.25">
      <c r="A47" t="s">
        <v>673</v>
      </c>
      <c r="B47" t="s">
        <v>674</v>
      </c>
      <c r="C47" t="s">
        <v>579</v>
      </c>
      <c r="D47" t="s">
        <v>580</v>
      </c>
      <c r="E47" s="2" t="str">
        <f>IF(AND(A47&lt;&gt;C47,A47&lt;&gt;"",C47&lt;&gt;""),"Conv","")</f>
        <v>Conv</v>
      </c>
      <c r="F47" s="2" t="str">
        <f>IF(AND(A47&lt;&gt;C47,A47&lt;&gt;"",C47=""),"Ignore","")</f>
        <v/>
      </c>
    </row>
    <row r="48" spans="1:6" x14ac:dyDescent="0.25">
      <c r="A48" t="s">
        <v>676</v>
      </c>
      <c r="B48" t="s">
        <v>677</v>
      </c>
      <c r="C48" t="s">
        <v>583</v>
      </c>
      <c r="D48" t="s">
        <v>584</v>
      </c>
      <c r="E48" s="2" t="str">
        <f>IF(AND(A48&lt;&gt;C48,A48&lt;&gt;"",C48&lt;&gt;""),"Conv","")</f>
        <v>Conv</v>
      </c>
      <c r="F48" s="2" t="str">
        <f>IF(AND(A48&lt;&gt;C48,A48&lt;&gt;"",C48=""),"Ignore","")</f>
        <v/>
      </c>
    </row>
    <row r="49" spans="1:6" x14ac:dyDescent="0.25">
      <c r="C49" t="s">
        <v>587</v>
      </c>
      <c r="D49" t="s">
        <v>588</v>
      </c>
      <c r="E49" s="2" t="str">
        <f>IF(AND(A49&lt;&gt;C49,A49&lt;&gt;"",C49&lt;&gt;""),"Conv","")</f>
        <v/>
      </c>
      <c r="F49" s="2" t="str">
        <f>IF(AND(A49&lt;&gt;C49,A49&lt;&gt;"",C49=""),"Ignore","")</f>
        <v/>
      </c>
    </row>
    <row r="50" spans="1:6" x14ac:dyDescent="0.25">
      <c r="A50" t="s">
        <v>697</v>
      </c>
      <c r="B50" t="s">
        <v>698</v>
      </c>
      <c r="C50" t="s">
        <v>591</v>
      </c>
      <c r="D50" t="s">
        <v>592</v>
      </c>
      <c r="E50" s="2" t="str">
        <f>IF(AND(A50&lt;&gt;C50,A50&lt;&gt;"",C50&lt;&gt;""),"Conv","")</f>
        <v>Conv</v>
      </c>
      <c r="F50" s="2" t="str">
        <f>IF(AND(A50&lt;&gt;C50,A50&lt;&gt;"",C50=""),"Ignore","")</f>
        <v/>
      </c>
    </row>
    <row r="51" spans="1:6" x14ac:dyDescent="0.25">
      <c r="A51" t="s">
        <v>700</v>
      </c>
      <c r="B51" t="s">
        <v>701</v>
      </c>
      <c r="C51" t="s">
        <v>595</v>
      </c>
      <c r="D51" t="s">
        <v>596</v>
      </c>
      <c r="E51" s="2" t="str">
        <f>IF(AND(A51&lt;&gt;C51,A51&lt;&gt;"",C51&lt;&gt;""),"Conv","")</f>
        <v>Conv</v>
      </c>
      <c r="F51" s="2" t="str">
        <f>IF(AND(A51&lt;&gt;C51,A51&lt;&gt;"",C51=""),"Ignore","")</f>
        <v/>
      </c>
    </row>
    <row r="52" spans="1:6" x14ac:dyDescent="0.25">
      <c r="C52" t="s">
        <v>599</v>
      </c>
      <c r="D52" t="s">
        <v>600</v>
      </c>
      <c r="E52" s="2" t="str">
        <f>IF(AND(A52&lt;&gt;C52,A52&lt;&gt;"",C52&lt;&gt;""),"Conv","")</f>
        <v/>
      </c>
      <c r="F52" s="2" t="str">
        <f>IF(AND(A52&lt;&gt;C52,A52&lt;&gt;"",C52=""),"Ignore","")</f>
        <v/>
      </c>
    </row>
    <row r="53" spans="1:6" x14ac:dyDescent="0.25">
      <c r="A53" t="s">
        <v>715</v>
      </c>
      <c r="B53" t="s">
        <v>716</v>
      </c>
      <c r="C53" t="s">
        <v>603</v>
      </c>
      <c r="D53" t="s">
        <v>604</v>
      </c>
      <c r="E53" s="2" t="str">
        <f>IF(AND(A53&lt;&gt;C53,A53&lt;&gt;"",C53&lt;&gt;""),"Conv","")</f>
        <v>Conv</v>
      </c>
      <c r="F53" s="2" t="str">
        <f>IF(AND(A53&lt;&gt;C53,A53&lt;&gt;"",C53=""),"Ignore","")</f>
        <v/>
      </c>
    </row>
    <row r="54" spans="1:6" x14ac:dyDescent="0.25">
      <c r="C54" t="s">
        <v>607</v>
      </c>
      <c r="D54" t="s">
        <v>608</v>
      </c>
      <c r="E54" s="2" t="str">
        <f>IF(AND(A54&lt;&gt;C54,A54&lt;&gt;"",C54&lt;&gt;""),"Conv","")</f>
        <v/>
      </c>
      <c r="F54" s="2" t="str">
        <f>IF(AND(A54&lt;&gt;C54,A54&lt;&gt;"",C54=""),"Ignore","")</f>
        <v/>
      </c>
    </row>
    <row r="55" spans="1:6" x14ac:dyDescent="0.25">
      <c r="A55" t="s">
        <v>728</v>
      </c>
      <c r="B55" t="s">
        <v>729</v>
      </c>
      <c r="C55" t="s">
        <v>611</v>
      </c>
      <c r="D55" t="s">
        <v>612</v>
      </c>
      <c r="E55" s="2" t="str">
        <f>IF(AND(A55&lt;&gt;C55,A55&lt;&gt;"",C55&lt;&gt;""),"Conv","")</f>
        <v>Conv</v>
      </c>
      <c r="F55" s="2" t="str">
        <f>IF(AND(A55&lt;&gt;C55,A55&lt;&gt;"",C55=""),"Ignore","")</f>
        <v/>
      </c>
    </row>
    <row r="56" spans="1:6" x14ac:dyDescent="0.25">
      <c r="A56" t="s">
        <v>559</v>
      </c>
      <c r="B56" t="s">
        <v>560</v>
      </c>
      <c r="C56" t="s">
        <v>559</v>
      </c>
      <c r="D56" t="s">
        <v>615</v>
      </c>
      <c r="E56" s="2" t="str">
        <f>IF(AND(A56&lt;&gt;C56,A56&lt;&gt;"",C56&lt;&gt;""),"Conv","")</f>
        <v/>
      </c>
      <c r="F56" s="2" t="str">
        <f>IF(AND(A56&lt;&gt;C56,A56&lt;&gt;"",C56=""),"Ignore","")</f>
        <v/>
      </c>
    </row>
    <row r="57" spans="1:6" x14ac:dyDescent="0.25">
      <c r="A57" t="s">
        <v>562</v>
      </c>
      <c r="B57" t="s">
        <v>563</v>
      </c>
      <c r="C57" t="s">
        <v>562</v>
      </c>
      <c r="D57" t="s">
        <v>618</v>
      </c>
      <c r="E57" s="2" t="str">
        <f>IF(AND(A57&lt;&gt;C57,A57&lt;&gt;"",C57&lt;&gt;""),"Conv","")</f>
        <v/>
      </c>
      <c r="F57" s="2" t="str">
        <f>IF(AND(A57&lt;&gt;C57,A57&lt;&gt;"",C57=""),"Ignore","")</f>
        <v/>
      </c>
    </row>
    <row r="58" spans="1:6" x14ac:dyDescent="0.25">
      <c r="A58" t="s">
        <v>565</v>
      </c>
      <c r="B58" t="s">
        <v>566</v>
      </c>
      <c r="C58" t="s">
        <v>565</v>
      </c>
      <c r="D58" t="s">
        <v>621</v>
      </c>
      <c r="E58" s="2" t="str">
        <f>IF(AND(A58&lt;&gt;C58,A58&lt;&gt;"",C58&lt;&gt;""),"Conv","")</f>
        <v/>
      </c>
      <c r="F58" s="2" t="str">
        <f>IF(AND(A58&lt;&gt;C58,A58&lt;&gt;"",C58=""),"Ignore","")</f>
        <v/>
      </c>
    </row>
    <row r="59" spans="1:6" x14ac:dyDescent="0.25">
      <c r="A59" t="s">
        <v>569</v>
      </c>
      <c r="B59" t="s">
        <v>570</v>
      </c>
      <c r="C59" t="s">
        <v>569</v>
      </c>
      <c r="D59" t="s">
        <v>624</v>
      </c>
      <c r="E59" s="2" t="str">
        <f>IF(AND(A59&lt;&gt;C59,A59&lt;&gt;"",C59&lt;&gt;""),"Conv","")</f>
        <v/>
      </c>
      <c r="F59" s="2" t="str">
        <f>IF(AND(A59&lt;&gt;C59,A59&lt;&gt;"",C59=""),"Ignore","")</f>
        <v/>
      </c>
    </row>
    <row r="60" spans="1:6" x14ac:dyDescent="0.25">
      <c r="A60" t="s">
        <v>573</v>
      </c>
      <c r="B60" t="s">
        <v>574</v>
      </c>
      <c r="C60" t="s">
        <v>573</v>
      </c>
      <c r="D60" t="s">
        <v>627</v>
      </c>
      <c r="E60" s="2" t="str">
        <f>IF(AND(A60&lt;&gt;C60,A60&lt;&gt;"",C60&lt;&gt;""),"Conv","")</f>
        <v/>
      </c>
      <c r="F60" s="2" t="str">
        <f>IF(AND(A60&lt;&gt;C60,A60&lt;&gt;"",C60=""),"Ignore","")</f>
        <v/>
      </c>
    </row>
    <row r="61" spans="1:6" x14ac:dyDescent="0.25">
      <c r="A61" t="s">
        <v>577</v>
      </c>
      <c r="B61" t="s">
        <v>578</v>
      </c>
      <c r="C61" t="s">
        <v>577</v>
      </c>
      <c r="D61" t="s">
        <v>630</v>
      </c>
      <c r="E61" s="2" t="str">
        <f>IF(AND(A61&lt;&gt;C61,A61&lt;&gt;"",C61&lt;&gt;""),"Conv","")</f>
        <v/>
      </c>
      <c r="F61" s="2" t="str">
        <f>IF(AND(A61&lt;&gt;C61,A61&lt;&gt;"",C61=""),"Ignore","")</f>
        <v/>
      </c>
    </row>
    <row r="62" spans="1:6" x14ac:dyDescent="0.25">
      <c r="A62" t="s">
        <v>581</v>
      </c>
      <c r="B62" t="s">
        <v>582</v>
      </c>
      <c r="C62" t="s">
        <v>581</v>
      </c>
      <c r="D62" t="s">
        <v>633</v>
      </c>
      <c r="E62" s="2" t="str">
        <f>IF(AND(A62&lt;&gt;C62,A62&lt;&gt;"",C62&lt;&gt;""),"Conv","")</f>
        <v/>
      </c>
      <c r="F62" s="2" t="str">
        <f>IF(AND(A62&lt;&gt;C62,A62&lt;&gt;"",C62=""),"Ignore","")</f>
        <v/>
      </c>
    </row>
    <row r="63" spans="1:6" x14ac:dyDescent="0.25">
      <c r="A63" t="s">
        <v>585</v>
      </c>
      <c r="B63" t="s">
        <v>586</v>
      </c>
      <c r="C63" t="s">
        <v>585</v>
      </c>
      <c r="D63" t="s">
        <v>636</v>
      </c>
      <c r="E63" s="2" t="str">
        <f>IF(AND(A63&lt;&gt;C63,A63&lt;&gt;"",C63&lt;&gt;""),"Conv","")</f>
        <v/>
      </c>
      <c r="F63" s="2" t="str">
        <f>IF(AND(A63&lt;&gt;C63,A63&lt;&gt;"",C63=""),"Ignore","")</f>
        <v/>
      </c>
    </row>
    <row r="64" spans="1:6" x14ac:dyDescent="0.25">
      <c r="A64" t="s">
        <v>589</v>
      </c>
      <c r="B64" t="s">
        <v>590</v>
      </c>
      <c r="C64" t="s">
        <v>589</v>
      </c>
      <c r="D64" t="s">
        <v>639</v>
      </c>
      <c r="E64" s="2" t="str">
        <f>IF(AND(A64&lt;&gt;C64,A64&lt;&gt;"",C64&lt;&gt;""),"Conv","")</f>
        <v/>
      </c>
      <c r="F64" s="2" t="str">
        <f>IF(AND(A64&lt;&gt;C64,A64&lt;&gt;"",C64=""),"Ignore","")</f>
        <v/>
      </c>
    </row>
    <row r="65" spans="1:6" x14ac:dyDescent="0.25">
      <c r="A65" t="s">
        <v>593</v>
      </c>
      <c r="B65" t="s">
        <v>594</v>
      </c>
      <c r="C65" t="s">
        <v>593</v>
      </c>
      <c r="D65" t="s">
        <v>642</v>
      </c>
      <c r="E65" s="2" t="str">
        <f>IF(AND(A65&lt;&gt;C65,A65&lt;&gt;"",C65&lt;&gt;""),"Conv","")</f>
        <v/>
      </c>
      <c r="F65" s="2" t="str">
        <f>IF(AND(A65&lt;&gt;C65,A65&lt;&gt;"",C65=""),"Ignore","")</f>
        <v/>
      </c>
    </row>
    <row r="66" spans="1:6" x14ac:dyDescent="0.25">
      <c r="A66" t="s">
        <v>597</v>
      </c>
      <c r="B66" t="s">
        <v>598</v>
      </c>
      <c r="C66" t="s">
        <v>597</v>
      </c>
      <c r="D66" t="s">
        <v>645</v>
      </c>
      <c r="E66" s="2" t="str">
        <f>IF(AND(A66&lt;&gt;C66,A66&lt;&gt;"",C66&lt;&gt;""),"Conv","")</f>
        <v/>
      </c>
      <c r="F66" s="2" t="str">
        <f>IF(AND(A66&lt;&gt;C66,A66&lt;&gt;"",C66=""),"Ignore","")</f>
        <v/>
      </c>
    </row>
    <row r="67" spans="1:6" x14ac:dyDescent="0.25">
      <c r="A67" t="s">
        <v>601</v>
      </c>
      <c r="B67" t="s">
        <v>602</v>
      </c>
      <c r="C67" t="s">
        <v>601</v>
      </c>
      <c r="D67" t="s">
        <v>648</v>
      </c>
      <c r="E67" s="2" t="str">
        <f>IF(AND(A67&lt;&gt;C67,A67&lt;&gt;"",C67&lt;&gt;""),"Conv","")</f>
        <v/>
      </c>
      <c r="F67" s="2" t="str">
        <f>IF(AND(A67&lt;&gt;C67,A67&lt;&gt;"",C67=""),"Ignore","")</f>
        <v/>
      </c>
    </row>
    <row r="68" spans="1:6" x14ac:dyDescent="0.25">
      <c r="A68" t="s">
        <v>605</v>
      </c>
      <c r="B68" t="s">
        <v>606</v>
      </c>
      <c r="C68" t="s">
        <v>605</v>
      </c>
      <c r="D68" t="s">
        <v>651</v>
      </c>
      <c r="E68" s="2" t="str">
        <f>IF(AND(A68&lt;&gt;C68,A68&lt;&gt;"",C68&lt;&gt;""),"Conv","")</f>
        <v/>
      </c>
      <c r="F68" s="2" t="str">
        <f>IF(AND(A68&lt;&gt;C68,A68&lt;&gt;"",C68=""),"Ignore","")</f>
        <v/>
      </c>
    </row>
    <row r="69" spans="1:6" x14ac:dyDescent="0.25">
      <c r="A69" t="s">
        <v>609</v>
      </c>
      <c r="B69" t="s">
        <v>610</v>
      </c>
      <c r="C69" t="s">
        <v>609</v>
      </c>
      <c r="D69" t="s">
        <v>654</v>
      </c>
      <c r="E69" s="2" t="str">
        <f>IF(AND(A69&lt;&gt;C69,A69&lt;&gt;"",C69&lt;&gt;""),"Conv","")</f>
        <v/>
      </c>
      <c r="F69" s="2" t="str">
        <f>IF(AND(A69&lt;&gt;C69,A69&lt;&gt;"",C69=""),"Ignore","")</f>
        <v/>
      </c>
    </row>
    <row r="70" spans="1:6" x14ac:dyDescent="0.25">
      <c r="A70" t="s">
        <v>613</v>
      </c>
      <c r="B70" t="s">
        <v>614</v>
      </c>
      <c r="C70" t="s">
        <v>613</v>
      </c>
      <c r="D70" t="s">
        <v>657</v>
      </c>
      <c r="E70" s="2" t="str">
        <f>IF(AND(A70&lt;&gt;C70,A70&lt;&gt;"",C70&lt;&gt;""),"Conv","")</f>
        <v/>
      </c>
      <c r="F70" s="2" t="str">
        <f>IF(AND(A70&lt;&gt;C70,A70&lt;&gt;"",C70=""),"Ignore","")</f>
        <v/>
      </c>
    </row>
    <row r="71" spans="1:6" x14ac:dyDescent="0.25">
      <c r="A71" t="s">
        <v>616</v>
      </c>
      <c r="B71" s="1" t="s">
        <v>617</v>
      </c>
      <c r="C71" t="s">
        <v>616</v>
      </c>
      <c r="D71" t="s">
        <v>660</v>
      </c>
      <c r="E71" s="2" t="str">
        <f>IF(AND(A71&lt;&gt;C71,A71&lt;&gt;"",C71&lt;&gt;""),"Conv","")</f>
        <v/>
      </c>
      <c r="F71" s="2" t="str">
        <f>IF(AND(A71&lt;&gt;C71,A71&lt;&gt;"",C71=""),"Ignore","")</f>
        <v/>
      </c>
    </row>
    <row r="72" spans="1:6" x14ac:dyDescent="0.25">
      <c r="A72" t="s">
        <v>619</v>
      </c>
      <c r="B72" t="s">
        <v>620</v>
      </c>
      <c r="C72" t="s">
        <v>619</v>
      </c>
      <c r="D72" t="s">
        <v>663</v>
      </c>
      <c r="E72" s="2" t="str">
        <f>IF(AND(A72&lt;&gt;C72,A72&lt;&gt;"",C72&lt;&gt;""),"Conv","")</f>
        <v/>
      </c>
      <c r="F72" s="2" t="str">
        <f>IF(AND(A72&lt;&gt;C72,A72&lt;&gt;"",C72=""),"Ignore","")</f>
        <v/>
      </c>
    </row>
    <row r="73" spans="1:6" x14ac:dyDescent="0.25">
      <c r="A73" t="s">
        <v>622</v>
      </c>
      <c r="B73" t="s">
        <v>623</v>
      </c>
      <c r="C73" t="s">
        <v>622</v>
      </c>
      <c r="D73" t="s">
        <v>666</v>
      </c>
      <c r="E73" s="2" t="str">
        <f>IF(AND(A73&lt;&gt;C73,A73&lt;&gt;"",C73&lt;&gt;""),"Conv","")</f>
        <v/>
      </c>
      <c r="F73" s="2" t="str">
        <f>IF(AND(A73&lt;&gt;C73,A73&lt;&gt;"",C73=""),"Ignore","")</f>
        <v/>
      </c>
    </row>
    <row r="74" spans="1:6" x14ac:dyDescent="0.25">
      <c r="A74" t="s">
        <v>625</v>
      </c>
      <c r="B74" t="s">
        <v>626</v>
      </c>
      <c r="C74" t="s">
        <v>625</v>
      </c>
      <c r="D74" t="s">
        <v>669</v>
      </c>
      <c r="E74" s="2" t="str">
        <f>IF(AND(A74&lt;&gt;C74,A74&lt;&gt;"",C74&lt;&gt;""),"Conv","")</f>
        <v/>
      </c>
      <c r="F74" s="2" t="str">
        <f>IF(AND(A74&lt;&gt;C74,A74&lt;&gt;"",C74=""),"Ignore","")</f>
        <v/>
      </c>
    </row>
    <row r="75" spans="1:6" x14ac:dyDescent="0.25">
      <c r="A75" t="s">
        <v>628</v>
      </c>
      <c r="B75" t="s">
        <v>629</v>
      </c>
      <c r="C75" t="s">
        <v>628</v>
      </c>
      <c r="D75" t="s">
        <v>672</v>
      </c>
      <c r="E75" s="2" t="str">
        <f>IF(AND(A75&lt;&gt;C75,A75&lt;&gt;"",C75&lt;&gt;""),"Conv","")</f>
        <v/>
      </c>
      <c r="F75" s="2" t="str">
        <f>IF(AND(A75&lt;&gt;C75,A75&lt;&gt;"",C75=""),"Ignore","")</f>
        <v/>
      </c>
    </row>
    <row r="76" spans="1:6" x14ac:dyDescent="0.25">
      <c r="A76" t="s">
        <v>631</v>
      </c>
      <c r="B76" t="s">
        <v>632</v>
      </c>
      <c r="C76" t="s">
        <v>631</v>
      </c>
      <c r="D76" t="s">
        <v>675</v>
      </c>
      <c r="E76" s="2" t="str">
        <f>IF(AND(A76&lt;&gt;C76,A76&lt;&gt;"",C76&lt;&gt;""),"Conv","")</f>
        <v/>
      </c>
      <c r="F76" s="2" t="str">
        <f>IF(AND(A76&lt;&gt;C76,A76&lt;&gt;"",C76=""),"Ignore","")</f>
        <v/>
      </c>
    </row>
    <row r="77" spans="1:6" x14ac:dyDescent="0.25">
      <c r="A77" t="s">
        <v>634</v>
      </c>
      <c r="B77" t="s">
        <v>635</v>
      </c>
      <c r="C77" t="s">
        <v>634</v>
      </c>
      <c r="D77" t="s">
        <v>678</v>
      </c>
      <c r="E77" s="2" t="str">
        <f>IF(AND(A77&lt;&gt;C77,A77&lt;&gt;"",C77&lt;&gt;""),"Conv","")</f>
        <v/>
      </c>
      <c r="F77" s="2" t="str">
        <f>IF(AND(A77&lt;&gt;C77,A77&lt;&gt;"",C77=""),"Ignore","")</f>
        <v/>
      </c>
    </row>
    <row r="78" spans="1:6" x14ac:dyDescent="0.25">
      <c r="A78" t="s">
        <v>637</v>
      </c>
      <c r="B78" t="s">
        <v>638</v>
      </c>
      <c r="C78" t="s">
        <v>637</v>
      </c>
      <c r="D78" t="s">
        <v>681</v>
      </c>
      <c r="E78" s="2" t="str">
        <f>IF(AND(A78&lt;&gt;C78,A78&lt;&gt;"",C78&lt;&gt;""),"Conv","")</f>
        <v/>
      </c>
      <c r="F78" s="2" t="str">
        <f>IF(AND(A78&lt;&gt;C78,A78&lt;&gt;"",C78=""),"Ignore","")</f>
        <v/>
      </c>
    </row>
    <row r="79" spans="1:6" x14ac:dyDescent="0.25">
      <c r="A79" t="s">
        <v>640</v>
      </c>
      <c r="B79" t="s">
        <v>641</v>
      </c>
      <c r="C79" t="s">
        <v>640</v>
      </c>
      <c r="D79" t="s">
        <v>684</v>
      </c>
      <c r="E79" s="2" t="str">
        <f>IF(AND(A79&lt;&gt;C79,A79&lt;&gt;"",C79&lt;&gt;""),"Conv","")</f>
        <v/>
      </c>
      <c r="F79" s="2" t="str">
        <f>IF(AND(A79&lt;&gt;C79,A79&lt;&gt;"",C79=""),"Ignore","")</f>
        <v/>
      </c>
    </row>
    <row r="80" spans="1:6" x14ac:dyDescent="0.25">
      <c r="A80" t="s">
        <v>643</v>
      </c>
      <c r="B80" t="s">
        <v>644</v>
      </c>
      <c r="C80" t="s">
        <v>643</v>
      </c>
      <c r="D80" t="s">
        <v>687</v>
      </c>
      <c r="E80" s="2" t="str">
        <f>IF(AND(A80&lt;&gt;C80,A80&lt;&gt;"",C80&lt;&gt;""),"Conv","")</f>
        <v/>
      </c>
      <c r="F80" s="2" t="str">
        <f>IF(AND(A80&lt;&gt;C80,A80&lt;&gt;"",C80=""),"Ignore","")</f>
        <v/>
      </c>
    </row>
    <row r="81" spans="1:6" x14ac:dyDescent="0.25">
      <c r="A81" t="s">
        <v>646</v>
      </c>
      <c r="B81" t="s">
        <v>647</v>
      </c>
      <c r="C81" t="s">
        <v>646</v>
      </c>
      <c r="D81" t="s">
        <v>690</v>
      </c>
      <c r="E81" s="2" t="str">
        <f>IF(AND(A81&lt;&gt;C81,A81&lt;&gt;"",C81&lt;&gt;""),"Conv","")</f>
        <v/>
      </c>
      <c r="F81" s="2" t="str">
        <f>IF(AND(A81&lt;&gt;C81,A81&lt;&gt;"",C81=""),"Ignore","")</f>
        <v/>
      </c>
    </row>
    <row r="82" spans="1:6" x14ac:dyDescent="0.25">
      <c r="A82" t="s">
        <v>649</v>
      </c>
      <c r="B82" t="s">
        <v>650</v>
      </c>
      <c r="C82" t="s">
        <v>649</v>
      </c>
      <c r="D82" t="s">
        <v>693</v>
      </c>
      <c r="E82" s="2" t="str">
        <f>IF(AND(A82&lt;&gt;C82,A82&lt;&gt;"",C82&lt;&gt;""),"Conv","")</f>
        <v/>
      </c>
      <c r="F82" s="2" t="str">
        <f>IF(AND(A82&lt;&gt;C82,A82&lt;&gt;"",C82=""),"Ignore","")</f>
        <v/>
      </c>
    </row>
    <row r="83" spans="1:6" x14ac:dyDescent="0.25">
      <c r="A83" t="s">
        <v>652</v>
      </c>
      <c r="B83" t="s">
        <v>653</v>
      </c>
      <c r="C83" t="s">
        <v>652</v>
      </c>
      <c r="D83" t="s">
        <v>696</v>
      </c>
      <c r="E83" s="2" t="str">
        <f>IF(AND(A83&lt;&gt;C83,A83&lt;&gt;"",C83&lt;&gt;""),"Conv","")</f>
        <v/>
      </c>
      <c r="F83" s="2" t="str">
        <f>IF(AND(A83&lt;&gt;C83,A83&lt;&gt;"",C83=""),"Ignore","")</f>
        <v/>
      </c>
    </row>
    <row r="84" spans="1:6" x14ac:dyDescent="0.25">
      <c r="A84" t="s">
        <v>655</v>
      </c>
      <c r="B84" t="s">
        <v>656</v>
      </c>
      <c r="C84" t="s">
        <v>655</v>
      </c>
      <c r="D84" t="s">
        <v>699</v>
      </c>
      <c r="E84" s="2" t="str">
        <f>IF(AND(A84&lt;&gt;C84,A84&lt;&gt;"",C84&lt;&gt;""),"Conv","")</f>
        <v/>
      </c>
      <c r="F84" s="2" t="str">
        <f>IF(AND(A84&lt;&gt;C84,A84&lt;&gt;"",C84=""),"Ignore","")</f>
        <v/>
      </c>
    </row>
    <row r="85" spans="1:6" x14ac:dyDescent="0.25">
      <c r="A85" t="s">
        <v>658</v>
      </c>
      <c r="B85" t="s">
        <v>659</v>
      </c>
      <c r="C85" t="s">
        <v>658</v>
      </c>
      <c r="D85" t="s">
        <v>702</v>
      </c>
      <c r="E85" s="2" t="str">
        <f>IF(AND(A85&lt;&gt;C85,A85&lt;&gt;"",C85&lt;&gt;""),"Conv","")</f>
        <v/>
      </c>
      <c r="F85" s="2" t="str">
        <f>IF(AND(A85&lt;&gt;C85,A85&lt;&gt;"",C85=""),"Ignore","")</f>
        <v/>
      </c>
    </row>
    <row r="86" spans="1:6" x14ac:dyDescent="0.25">
      <c r="A86" t="s">
        <v>661</v>
      </c>
      <c r="B86" t="s">
        <v>662</v>
      </c>
      <c r="C86" t="s">
        <v>661</v>
      </c>
      <c r="D86" t="s">
        <v>705</v>
      </c>
      <c r="E86" s="2" t="str">
        <f>IF(AND(A86&lt;&gt;C86,A86&lt;&gt;"",C86&lt;&gt;""),"Conv","")</f>
        <v/>
      </c>
      <c r="F86" s="2" t="str">
        <f>IF(AND(A86&lt;&gt;C86,A86&lt;&gt;"",C86=""),"Ignore","")</f>
        <v/>
      </c>
    </row>
    <row r="87" spans="1:6" x14ac:dyDescent="0.25">
      <c r="A87" t="s">
        <v>664</v>
      </c>
      <c r="B87" t="s">
        <v>665</v>
      </c>
      <c r="C87" t="s">
        <v>664</v>
      </c>
      <c r="D87" t="s">
        <v>708</v>
      </c>
      <c r="E87" s="2" t="str">
        <f>IF(AND(A87&lt;&gt;C87,A87&lt;&gt;"",C87&lt;&gt;""),"Conv","")</f>
        <v/>
      </c>
      <c r="F87" s="2" t="str">
        <f>IF(AND(A87&lt;&gt;C87,A87&lt;&gt;"",C87=""),"Ignore","")</f>
        <v/>
      </c>
    </row>
    <row r="88" spans="1:6" x14ac:dyDescent="0.25">
      <c r="A88" t="s">
        <v>667</v>
      </c>
      <c r="B88" t="s">
        <v>668</v>
      </c>
      <c r="C88" t="s">
        <v>667</v>
      </c>
      <c r="D88" t="s">
        <v>711</v>
      </c>
      <c r="E88" s="2" t="str">
        <f t="shared" ref="E88:E93" si="0">IF(AND(A88&lt;&gt;C88,A88&lt;&gt;"",C88&lt;&gt;""),"Conv","")</f>
        <v/>
      </c>
      <c r="F88" s="2" t="str">
        <f t="shared" ref="F88:F93" si="1">IF(AND(A88&lt;&gt;C88,A88&lt;&gt;"",C88=""),"Ignore","")</f>
        <v/>
      </c>
    </row>
    <row r="89" spans="1:6" x14ac:dyDescent="0.25">
      <c r="A89" t="s">
        <v>670</v>
      </c>
      <c r="B89" t="s">
        <v>671</v>
      </c>
      <c r="E89" s="2" t="str">
        <f t="shared" si="0"/>
        <v/>
      </c>
      <c r="F89" s="2" t="str">
        <f t="shared" si="1"/>
        <v>Ignore</v>
      </c>
    </row>
    <row r="90" spans="1:6" x14ac:dyDescent="0.25">
      <c r="C90" t="s">
        <v>670</v>
      </c>
      <c r="D90" t="s">
        <v>714</v>
      </c>
      <c r="E90" s="2" t="str">
        <f t="shared" si="0"/>
        <v/>
      </c>
      <c r="F90" s="2" t="str">
        <f t="shared" si="1"/>
        <v/>
      </c>
    </row>
    <row r="91" spans="1:6" x14ac:dyDescent="0.25">
      <c r="C91" t="s">
        <v>717</v>
      </c>
      <c r="D91" t="s">
        <v>718</v>
      </c>
      <c r="E91" s="2" t="str">
        <f t="shared" si="0"/>
        <v/>
      </c>
      <c r="F91" s="2" t="str">
        <f t="shared" si="1"/>
        <v/>
      </c>
    </row>
    <row r="92" spans="1:6" x14ac:dyDescent="0.25">
      <c r="C92" t="s">
        <v>673</v>
      </c>
      <c r="D92" t="s">
        <v>721</v>
      </c>
      <c r="E92" s="2" t="str">
        <f t="shared" si="0"/>
        <v/>
      </c>
      <c r="F92" s="2" t="str">
        <f t="shared" si="1"/>
        <v/>
      </c>
    </row>
    <row r="93" spans="1:6" x14ac:dyDescent="0.25">
      <c r="A93" t="s">
        <v>731</v>
      </c>
      <c r="B93" t="s">
        <v>732</v>
      </c>
      <c r="C93" t="s">
        <v>676</v>
      </c>
      <c r="D93" t="s">
        <v>724</v>
      </c>
      <c r="E93" s="2" t="str">
        <f t="shared" si="0"/>
        <v>Conv</v>
      </c>
      <c r="F93" s="2" t="str">
        <f t="shared" si="1"/>
        <v/>
      </c>
    </row>
    <row r="94" spans="1:6" x14ac:dyDescent="0.25">
      <c r="A94" t="s">
        <v>679</v>
      </c>
      <c r="B94" t="s">
        <v>680</v>
      </c>
      <c r="C94" t="s">
        <v>679</v>
      </c>
      <c r="D94" t="s">
        <v>727</v>
      </c>
      <c r="E94" s="2" t="str">
        <f>IF(AND(A94&lt;&gt;C94,A94&lt;&gt;"",C94&lt;&gt;""),"Conv","")</f>
        <v/>
      </c>
      <c r="F94" s="2" t="str">
        <f>IF(AND(A94&lt;&gt;C94,A94&lt;&gt;"",C94=""),"Ignore","")</f>
        <v/>
      </c>
    </row>
    <row r="95" spans="1:6" x14ac:dyDescent="0.25">
      <c r="A95" t="s">
        <v>682</v>
      </c>
      <c r="B95" t="s">
        <v>683</v>
      </c>
      <c r="C95" t="s">
        <v>682</v>
      </c>
      <c r="D95" t="s">
        <v>730</v>
      </c>
      <c r="E95" s="2" t="str">
        <f>IF(AND(A95&lt;&gt;C95,A95&lt;&gt;"",C95&lt;&gt;""),"Conv","")</f>
        <v/>
      </c>
      <c r="F95" s="2" t="str">
        <f>IF(AND(A95&lt;&gt;C95,A95&lt;&gt;"",C95=""),"Ignore","")</f>
        <v/>
      </c>
    </row>
    <row r="96" spans="1:6" x14ac:dyDescent="0.25">
      <c r="C96" t="s">
        <v>685</v>
      </c>
      <c r="D96" t="s">
        <v>733</v>
      </c>
      <c r="E96" s="2" t="str">
        <f>IF(AND(A96&lt;&gt;C96,A96&lt;&gt;"",C96&lt;&gt;""),"Conv","")</f>
        <v/>
      </c>
      <c r="F96" s="2" t="str">
        <f>IF(AND(A96&lt;&gt;C96,A96&lt;&gt;"",C96=""),"Ignore","")</f>
        <v/>
      </c>
    </row>
    <row r="97" spans="1:6" x14ac:dyDescent="0.25">
      <c r="A97" t="s">
        <v>688</v>
      </c>
      <c r="B97" t="s">
        <v>689</v>
      </c>
      <c r="C97" t="s">
        <v>688</v>
      </c>
      <c r="D97" t="s">
        <v>736</v>
      </c>
      <c r="E97" s="2" t="str">
        <f>IF(AND(A97&lt;&gt;C97,A97&lt;&gt;"",C97&lt;&gt;""),"Conv","")</f>
        <v/>
      </c>
      <c r="F97" s="2" t="str">
        <f>IF(AND(A97&lt;&gt;C97,A97&lt;&gt;"",C97=""),"Ignore","")</f>
        <v/>
      </c>
    </row>
    <row r="98" spans="1:6" x14ac:dyDescent="0.25">
      <c r="A98" t="s">
        <v>691</v>
      </c>
      <c r="B98" t="s">
        <v>692</v>
      </c>
      <c r="C98" t="s">
        <v>691</v>
      </c>
      <c r="D98" t="s">
        <v>739</v>
      </c>
      <c r="E98" s="2" t="str">
        <f>IF(AND(A98&lt;&gt;C98,A98&lt;&gt;"",C98&lt;&gt;""),"Conv","")</f>
        <v/>
      </c>
      <c r="F98" s="2" t="str">
        <f>IF(AND(A98&lt;&gt;C98,A98&lt;&gt;"",C98=""),"Ignore","")</f>
        <v/>
      </c>
    </row>
    <row r="99" spans="1:6" x14ac:dyDescent="0.25">
      <c r="C99" t="s">
        <v>694</v>
      </c>
      <c r="D99" t="s">
        <v>742</v>
      </c>
      <c r="E99" s="2" t="str">
        <f>IF(AND(A99&lt;&gt;C99,A99&lt;&gt;"",C99&lt;&gt;""),"Conv","")</f>
        <v/>
      </c>
      <c r="F99" s="2" t="str">
        <f>IF(AND(A99&lt;&gt;C99,A99&lt;&gt;"",C99=""),"Ignore","")</f>
        <v/>
      </c>
    </row>
    <row r="100" spans="1:6" x14ac:dyDescent="0.25">
      <c r="C100" t="s">
        <v>697</v>
      </c>
      <c r="D100" t="s">
        <v>745</v>
      </c>
      <c r="E100" s="2" t="str">
        <f>IF(AND(A100&lt;&gt;C100,A100&lt;&gt;"",C100&lt;&gt;""),"Conv","")</f>
        <v/>
      </c>
      <c r="F100" s="2" t="str">
        <f>IF(AND(A100&lt;&gt;C100,A100&lt;&gt;"",C100=""),"Ignore","")</f>
        <v/>
      </c>
    </row>
    <row r="101" spans="1:6" x14ac:dyDescent="0.25">
      <c r="C101" t="s">
        <v>700</v>
      </c>
      <c r="D101" t="s">
        <v>748</v>
      </c>
      <c r="E101" s="2" t="str">
        <f>IF(AND(A101&lt;&gt;C101,A101&lt;&gt;"",C101&lt;&gt;""),"Conv","")</f>
        <v/>
      </c>
      <c r="F101" s="2" t="str">
        <f>IF(AND(A101&lt;&gt;C101,A101&lt;&gt;"",C101=""),"Ignore","")</f>
        <v/>
      </c>
    </row>
    <row r="102" spans="1:6" x14ac:dyDescent="0.25">
      <c r="A102" t="s">
        <v>703</v>
      </c>
      <c r="B102" t="s">
        <v>704</v>
      </c>
      <c r="C102" t="s">
        <v>703</v>
      </c>
      <c r="D102" t="s">
        <v>751</v>
      </c>
      <c r="E102" s="2" t="str">
        <f>IF(AND(A102&lt;&gt;C102,A102&lt;&gt;"",C102&lt;&gt;""),"Conv","")</f>
        <v/>
      </c>
      <c r="F102" s="2" t="str">
        <f>IF(AND(A102&lt;&gt;C102,A102&lt;&gt;"",C102=""),"Ignore","")</f>
        <v/>
      </c>
    </row>
    <row r="103" spans="1:6" x14ac:dyDescent="0.25">
      <c r="A103" t="s">
        <v>709</v>
      </c>
      <c r="B103" t="s">
        <v>710</v>
      </c>
      <c r="C103" t="s">
        <v>706</v>
      </c>
      <c r="D103" t="s">
        <v>754</v>
      </c>
      <c r="E103" s="2" t="str">
        <f>IF(AND(A103&lt;&gt;C103,A103&lt;&gt;"",C103&lt;&gt;""),"Conv","")</f>
        <v>Conv</v>
      </c>
      <c r="F103" s="2" t="str">
        <f>IF(AND(A103&lt;&gt;C103,A103&lt;&gt;"",C103=""),"Ignore","")</f>
        <v/>
      </c>
    </row>
    <row r="104" spans="1:6" x14ac:dyDescent="0.25">
      <c r="A104" t="s">
        <v>712</v>
      </c>
      <c r="B104" t="s">
        <v>713</v>
      </c>
      <c r="C104" t="s">
        <v>709</v>
      </c>
      <c r="D104" t="s">
        <v>757</v>
      </c>
      <c r="E104" s="2" t="str">
        <f>IF(AND(A104&lt;&gt;C104,A104&lt;&gt;"",C104&lt;&gt;""),"Conv","")</f>
        <v>Conv</v>
      </c>
      <c r="F104" s="2" t="str">
        <f>IF(AND(A104&lt;&gt;C104,A104&lt;&gt;"",C104=""),"Ignore","")</f>
        <v/>
      </c>
    </row>
    <row r="105" spans="1:6" x14ac:dyDescent="0.25">
      <c r="A105" t="s">
        <v>737</v>
      </c>
      <c r="B105" t="s">
        <v>738</v>
      </c>
      <c r="C105" t="s">
        <v>737</v>
      </c>
      <c r="D105" t="s">
        <v>760</v>
      </c>
      <c r="E105" s="2" t="str">
        <f>IF(AND(A105&lt;&gt;C105,A105&lt;&gt;"",C105&lt;&gt;""),"Conv","")</f>
        <v/>
      </c>
      <c r="F105" s="2" t="str">
        <f>IF(AND(A105&lt;&gt;C105,A105&lt;&gt;"",C105=""),"Ignore","")</f>
        <v/>
      </c>
    </row>
    <row r="106" spans="1:6" x14ac:dyDescent="0.25">
      <c r="A106" t="s">
        <v>740</v>
      </c>
      <c r="B106" t="s">
        <v>741</v>
      </c>
      <c r="C106" t="s">
        <v>740</v>
      </c>
      <c r="D106" t="s">
        <v>763</v>
      </c>
      <c r="E106" s="2" t="str">
        <f>IF(AND(A106&lt;&gt;C106,A106&lt;&gt;"",C106&lt;&gt;""),"Conv","")</f>
        <v/>
      </c>
      <c r="F106" s="2" t="str">
        <f>IF(AND(A106&lt;&gt;C106,A106&lt;&gt;"",C106=""),"Ignore","")</f>
        <v/>
      </c>
    </row>
    <row r="107" spans="1:6" x14ac:dyDescent="0.25">
      <c r="A107" t="s">
        <v>743</v>
      </c>
      <c r="B107" t="s">
        <v>744</v>
      </c>
      <c r="C107" t="s">
        <v>743</v>
      </c>
      <c r="D107" t="s">
        <v>766</v>
      </c>
      <c r="E107" s="2" t="str">
        <f>IF(AND(A107&lt;&gt;C107,A107&lt;&gt;"",C107&lt;&gt;""),"Conv","")</f>
        <v/>
      </c>
      <c r="F107" s="2" t="str">
        <f>IF(AND(A107&lt;&gt;C107,A107&lt;&gt;"",C107=""),"Ignore","")</f>
        <v/>
      </c>
    </row>
    <row r="108" spans="1:6" x14ac:dyDescent="0.25">
      <c r="A108" t="s">
        <v>746</v>
      </c>
      <c r="B108" t="s">
        <v>747</v>
      </c>
      <c r="C108" t="s">
        <v>746</v>
      </c>
      <c r="D108" t="s">
        <v>769</v>
      </c>
      <c r="E108" s="2" t="str">
        <f>IF(AND(A108&lt;&gt;C108,A108&lt;&gt;"",C108&lt;&gt;""),"Conv","")</f>
        <v/>
      </c>
      <c r="F108" s="2" t="str">
        <f>IF(AND(A108&lt;&gt;C108,A108&lt;&gt;"",C108=""),"Ignore","")</f>
        <v/>
      </c>
    </row>
    <row r="109" spans="1:6" x14ac:dyDescent="0.25">
      <c r="A109" t="s">
        <v>749</v>
      </c>
      <c r="B109" t="s">
        <v>750</v>
      </c>
      <c r="C109" t="s">
        <v>749</v>
      </c>
      <c r="D109" t="s">
        <v>772</v>
      </c>
      <c r="E109" s="2" t="str">
        <f>IF(AND(A109&lt;&gt;C109,A109&lt;&gt;"",C109&lt;&gt;""),"Conv","")</f>
        <v/>
      </c>
      <c r="F109" s="2" t="str">
        <f>IF(AND(A109&lt;&gt;C109,A109&lt;&gt;"",C109=""),"Ignore","")</f>
        <v/>
      </c>
    </row>
    <row r="110" spans="1:6" x14ac:dyDescent="0.25">
      <c r="A110" t="s">
        <v>752</v>
      </c>
      <c r="B110" t="s">
        <v>753</v>
      </c>
      <c r="C110" t="s">
        <v>752</v>
      </c>
      <c r="D110" t="s">
        <v>775</v>
      </c>
      <c r="E110" s="2" t="str">
        <f>IF(AND(A110&lt;&gt;C110,A110&lt;&gt;"",C110&lt;&gt;""),"Conv","")</f>
        <v/>
      </c>
      <c r="F110" s="2" t="str">
        <f>IF(AND(A110&lt;&gt;C110,A110&lt;&gt;"",C110=""),"Ignore","")</f>
        <v/>
      </c>
    </row>
    <row r="111" spans="1:6" x14ac:dyDescent="0.25">
      <c r="A111" t="s">
        <v>755</v>
      </c>
      <c r="B111" t="s">
        <v>756</v>
      </c>
      <c r="C111" t="s">
        <v>755</v>
      </c>
      <c r="D111" t="s">
        <v>778</v>
      </c>
      <c r="E111" s="2" t="str">
        <f>IF(AND(A111&lt;&gt;C111,A111&lt;&gt;"",C111&lt;&gt;""),"Conv","")</f>
        <v/>
      </c>
      <c r="F111" s="2" t="str">
        <f>IF(AND(A111&lt;&gt;C111,A111&lt;&gt;"",C111=""),"Ignore","")</f>
        <v/>
      </c>
    </row>
    <row r="112" spans="1:6" x14ac:dyDescent="0.25">
      <c r="A112" t="s">
        <v>758</v>
      </c>
      <c r="B112" t="s">
        <v>759</v>
      </c>
      <c r="C112" t="s">
        <v>758</v>
      </c>
      <c r="D112" t="s">
        <v>781</v>
      </c>
      <c r="E112" s="2" t="str">
        <f>IF(AND(A112&lt;&gt;C112,A112&lt;&gt;"",C112&lt;&gt;""),"Conv","")</f>
        <v/>
      </c>
      <c r="F112" s="2" t="str">
        <f>IF(AND(A112&lt;&gt;C112,A112&lt;&gt;"",C112=""),"Ignore","")</f>
        <v/>
      </c>
    </row>
    <row r="113" spans="1:6" x14ac:dyDescent="0.25">
      <c r="A113" t="s">
        <v>764</v>
      </c>
      <c r="B113" t="s">
        <v>765</v>
      </c>
      <c r="C113" t="s">
        <v>764</v>
      </c>
      <c r="D113" t="s">
        <v>784</v>
      </c>
      <c r="E113" s="2" t="str">
        <f>IF(AND(A113&lt;&gt;C113,A113&lt;&gt;"",C113&lt;&gt;""),"Conv","")</f>
        <v/>
      </c>
      <c r="F113" s="2" t="str">
        <f>IF(AND(A113&lt;&gt;C113,A113&lt;&gt;"",C113=""),"Ignore","")</f>
        <v/>
      </c>
    </row>
    <row r="114" spans="1:6" x14ac:dyDescent="0.25">
      <c r="A114" t="s">
        <v>767</v>
      </c>
      <c r="B114" t="s">
        <v>768</v>
      </c>
      <c r="C114" t="s">
        <v>767</v>
      </c>
      <c r="D114" t="s">
        <v>787</v>
      </c>
      <c r="E114" s="2" t="str">
        <f>IF(AND(A114&lt;&gt;C114,A114&lt;&gt;"",C114&lt;&gt;""),"Conv","")</f>
        <v/>
      </c>
      <c r="F114" s="2" t="str">
        <f>IF(AND(A114&lt;&gt;C114,A114&lt;&gt;"",C114=""),"Ignore","")</f>
        <v/>
      </c>
    </row>
    <row r="115" spans="1:6" x14ac:dyDescent="0.25">
      <c r="A115" t="s">
        <v>770</v>
      </c>
      <c r="B115" t="s">
        <v>771</v>
      </c>
      <c r="C115" t="s">
        <v>770</v>
      </c>
      <c r="D115" t="s">
        <v>790</v>
      </c>
      <c r="E115" s="2" t="str">
        <f>IF(AND(A115&lt;&gt;C115,A115&lt;&gt;"",C115&lt;&gt;""),"Conv","")</f>
        <v/>
      </c>
      <c r="F115" s="2" t="str">
        <f>IF(AND(A115&lt;&gt;C115,A115&lt;&gt;"",C115=""),"Ignore","")</f>
        <v/>
      </c>
    </row>
    <row r="116" spans="1:6" x14ac:dyDescent="0.25">
      <c r="A116" t="s">
        <v>773</v>
      </c>
      <c r="B116" t="s">
        <v>774</v>
      </c>
      <c r="C116" t="s">
        <v>773</v>
      </c>
      <c r="D116" t="s">
        <v>793</v>
      </c>
      <c r="E116" s="2" t="str">
        <f>IF(AND(A116&lt;&gt;C116,A116&lt;&gt;"",C116&lt;&gt;""),"Conv","")</f>
        <v/>
      </c>
      <c r="F116" s="2" t="str">
        <f>IF(AND(A116&lt;&gt;C116,A116&lt;&gt;"",C116=""),"Ignore","")</f>
        <v/>
      </c>
    </row>
    <row r="117" spans="1:6" x14ac:dyDescent="0.25">
      <c r="A117" t="s">
        <v>776</v>
      </c>
      <c r="B117" t="s">
        <v>777</v>
      </c>
      <c r="C117" t="s">
        <v>776</v>
      </c>
      <c r="D117" t="s">
        <v>796</v>
      </c>
      <c r="E117" s="2" t="str">
        <f>IF(AND(A117&lt;&gt;C117,A117&lt;&gt;"",C117&lt;&gt;""),"Conv","")</f>
        <v/>
      </c>
      <c r="F117" s="2" t="str">
        <f>IF(AND(A117&lt;&gt;C117,A117&lt;&gt;"",C117=""),"Ignore","")</f>
        <v/>
      </c>
    </row>
    <row r="118" spans="1:6" x14ac:dyDescent="0.25">
      <c r="A118" t="s">
        <v>779</v>
      </c>
      <c r="B118" t="s">
        <v>780</v>
      </c>
      <c r="C118" t="s">
        <v>779</v>
      </c>
      <c r="D118" t="s">
        <v>799</v>
      </c>
      <c r="E118" s="2" t="str">
        <f>IF(AND(A118&lt;&gt;C118,A118&lt;&gt;"",C118&lt;&gt;""),"Conv","")</f>
        <v/>
      </c>
      <c r="F118" s="2" t="str">
        <f>IF(AND(A118&lt;&gt;C118,A118&lt;&gt;"",C118=""),"Ignore","")</f>
        <v/>
      </c>
    </row>
    <row r="119" spans="1:6" x14ac:dyDescent="0.25">
      <c r="A119" t="s">
        <v>782</v>
      </c>
      <c r="B119" t="s">
        <v>783</v>
      </c>
      <c r="C119" t="s">
        <v>782</v>
      </c>
      <c r="D119" t="s">
        <v>802</v>
      </c>
      <c r="E119" s="2" t="str">
        <f>IF(AND(A119&lt;&gt;C119,A119&lt;&gt;"",C119&lt;&gt;""),"Conv","")</f>
        <v/>
      </c>
      <c r="F119" s="2" t="str">
        <f>IF(AND(A119&lt;&gt;C119,A119&lt;&gt;"",C119=""),"Ignore","")</f>
        <v/>
      </c>
    </row>
    <row r="120" spans="1:6" x14ac:dyDescent="0.25">
      <c r="A120" t="s">
        <v>785</v>
      </c>
      <c r="B120" t="s">
        <v>786</v>
      </c>
      <c r="C120" t="s">
        <v>785</v>
      </c>
      <c r="D120" t="s">
        <v>805</v>
      </c>
      <c r="E120" s="2" t="str">
        <f>IF(AND(A120&lt;&gt;C120,A120&lt;&gt;"",C120&lt;&gt;""),"Conv","")</f>
        <v/>
      </c>
      <c r="F120" s="2" t="str">
        <f>IF(AND(A120&lt;&gt;C120,A120&lt;&gt;"",C120=""),"Ignore","")</f>
        <v/>
      </c>
    </row>
    <row r="121" spans="1:6" x14ac:dyDescent="0.25">
      <c r="A121" t="s">
        <v>788</v>
      </c>
      <c r="B121" t="s">
        <v>789</v>
      </c>
      <c r="C121" t="s">
        <v>788</v>
      </c>
      <c r="D121" t="s">
        <v>808</v>
      </c>
      <c r="E121" s="2" t="str">
        <f>IF(AND(A121&lt;&gt;C121,A121&lt;&gt;"",C121&lt;&gt;""),"Conv","")</f>
        <v/>
      </c>
      <c r="F121" s="2" t="str">
        <f>IF(AND(A121&lt;&gt;C121,A121&lt;&gt;"",C121=""),"Ignore","")</f>
        <v/>
      </c>
    </row>
    <row r="122" spans="1:6" x14ac:dyDescent="0.25">
      <c r="A122" t="s">
        <v>791</v>
      </c>
      <c r="B122" t="s">
        <v>792</v>
      </c>
      <c r="C122" t="s">
        <v>791</v>
      </c>
      <c r="D122" t="s">
        <v>811</v>
      </c>
      <c r="E122" s="2" t="str">
        <f>IF(AND(A122&lt;&gt;C122,A122&lt;&gt;"",C122&lt;&gt;""),"Conv","")</f>
        <v/>
      </c>
      <c r="F122" s="2" t="str">
        <f>IF(AND(A122&lt;&gt;C122,A122&lt;&gt;"",C122=""),"Ignore","")</f>
        <v/>
      </c>
    </row>
    <row r="123" spans="1:6" x14ac:dyDescent="0.25">
      <c r="A123" t="s">
        <v>794</v>
      </c>
      <c r="B123" t="s">
        <v>795</v>
      </c>
      <c r="C123" t="s">
        <v>794</v>
      </c>
      <c r="D123" t="s">
        <v>814</v>
      </c>
      <c r="E123" s="2" t="str">
        <f>IF(AND(A123&lt;&gt;C123,A123&lt;&gt;"",C123&lt;&gt;""),"Conv","")</f>
        <v/>
      </c>
      <c r="F123" s="2" t="str">
        <f>IF(AND(A123&lt;&gt;C123,A123&lt;&gt;"",C123=""),"Ignore","")</f>
        <v/>
      </c>
    </row>
    <row r="124" spans="1:6" x14ac:dyDescent="0.25">
      <c r="A124" t="s">
        <v>797</v>
      </c>
      <c r="B124" t="s">
        <v>798</v>
      </c>
      <c r="C124" t="s">
        <v>797</v>
      </c>
      <c r="D124" t="s">
        <v>817</v>
      </c>
      <c r="E124" s="2" t="str">
        <f>IF(AND(A124&lt;&gt;C124,A124&lt;&gt;"",C124&lt;&gt;""),"Conv","")</f>
        <v/>
      </c>
      <c r="F124" s="2" t="str">
        <f>IF(AND(A124&lt;&gt;C124,A124&lt;&gt;"",C124=""),"Ignore","")</f>
        <v/>
      </c>
    </row>
    <row r="125" spans="1:6" x14ac:dyDescent="0.25">
      <c r="A125" t="s">
        <v>800</v>
      </c>
      <c r="B125" t="s">
        <v>801</v>
      </c>
      <c r="C125" t="s">
        <v>800</v>
      </c>
      <c r="D125" t="s">
        <v>820</v>
      </c>
      <c r="E125" s="2" t="str">
        <f>IF(AND(A125&lt;&gt;C125,A125&lt;&gt;"",C125&lt;&gt;""),"Conv","")</f>
        <v/>
      </c>
      <c r="F125" s="2" t="str">
        <f>IF(AND(A125&lt;&gt;C125,A125&lt;&gt;"",C125=""),"Ignore","")</f>
        <v/>
      </c>
    </row>
    <row r="126" spans="1:6" x14ac:dyDescent="0.25">
      <c r="A126" t="s">
        <v>803</v>
      </c>
      <c r="B126" t="s">
        <v>804</v>
      </c>
      <c r="C126" t="s">
        <v>803</v>
      </c>
      <c r="D126" t="s">
        <v>823</v>
      </c>
      <c r="E126" s="2" t="str">
        <f>IF(AND(A126&lt;&gt;C126,A126&lt;&gt;"",C126&lt;&gt;""),"Conv","")</f>
        <v/>
      </c>
      <c r="F126" s="2" t="str">
        <f>IF(AND(A126&lt;&gt;C126,A126&lt;&gt;"",C126=""),"Ignore","")</f>
        <v/>
      </c>
    </row>
    <row r="127" spans="1:6" x14ac:dyDescent="0.25">
      <c r="A127" t="s">
        <v>806</v>
      </c>
      <c r="B127" t="s">
        <v>807</v>
      </c>
      <c r="C127" t="s">
        <v>806</v>
      </c>
      <c r="D127" t="s">
        <v>826</v>
      </c>
      <c r="E127" s="2" t="str">
        <f>IF(AND(A127&lt;&gt;C127,A127&lt;&gt;"",C127&lt;&gt;""),"Conv","")</f>
        <v/>
      </c>
      <c r="F127" s="2" t="str">
        <f>IF(AND(A127&lt;&gt;C127,A127&lt;&gt;"",C127=""),"Ignore","")</f>
        <v/>
      </c>
    </row>
    <row r="128" spans="1:6" x14ac:dyDescent="0.25">
      <c r="A128" t="s">
        <v>809</v>
      </c>
      <c r="B128" t="s">
        <v>810</v>
      </c>
      <c r="C128" t="s">
        <v>809</v>
      </c>
      <c r="D128" t="s">
        <v>829</v>
      </c>
      <c r="E128" s="2" t="str">
        <f>IF(AND(A128&lt;&gt;C128,A128&lt;&gt;"",C128&lt;&gt;""),"Conv","")</f>
        <v/>
      </c>
      <c r="F128" s="2" t="str">
        <f>IF(AND(A128&lt;&gt;C128,A128&lt;&gt;"",C128=""),"Ignore","")</f>
        <v/>
      </c>
    </row>
    <row r="129" spans="1:6" x14ac:dyDescent="0.25">
      <c r="A129" t="s">
        <v>812</v>
      </c>
      <c r="B129" t="s">
        <v>813</v>
      </c>
      <c r="C129" t="s">
        <v>812</v>
      </c>
      <c r="D129" t="s">
        <v>832</v>
      </c>
      <c r="E129" s="2" t="str">
        <f>IF(AND(A129&lt;&gt;C129,A129&lt;&gt;"",C129&lt;&gt;""),"Conv","")</f>
        <v/>
      </c>
      <c r="F129" s="2" t="str">
        <f>IF(AND(A129&lt;&gt;C129,A129&lt;&gt;"",C129=""),"Ignore","")</f>
        <v/>
      </c>
    </row>
    <row r="130" spans="1:6" x14ac:dyDescent="0.25">
      <c r="A130" t="s">
        <v>815</v>
      </c>
      <c r="B130" t="s">
        <v>816</v>
      </c>
      <c r="C130" t="s">
        <v>815</v>
      </c>
      <c r="D130" t="s">
        <v>835</v>
      </c>
      <c r="E130" s="2" t="str">
        <f>IF(AND(A130&lt;&gt;C130,A130&lt;&gt;"",C130&lt;&gt;""),"Conv","")</f>
        <v/>
      </c>
      <c r="F130" s="2" t="str">
        <f>IF(AND(A130&lt;&gt;C130,A130&lt;&gt;"",C130=""),"Ignore","")</f>
        <v/>
      </c>
    </row>
    <row r="131" spans="1:6" x14ac:dyDescent="0.25">
      <c r="A131" t="s">
        <v>818</v>
      </c>
      <c r="B131" t="s">
        <v>819</v>
      </c>
      <c r="C131" t="s">
        <v>818</v>
      </c>
      <c r="D131" t="s">
        <v>838</v>
      </c>
      <c r="E131" s="2" t="str">
        <f>IF(AND(A131&lt;&gt;C131,A131&lt;&gt;"",C131&lt;&gt;""),"Conv","")</f>
        <v/>
      </c>
      <c r="F131" s="2" t="str">
        <f>IF(AND(A131&lt;&gt;C131,A131&lt;&gt;"",C131=""),"Ignore","")</f>
        <v/>
      </c>
    </row>
    <row r="132" spans="1:6" x14ac:dyDescent="0.25">
      <c r="A132" t="s">
        <v>821</v>
      </c>
      <c r="B132" t="s">
        <v>822</v>
      </c>
      <c r="C132" t="s">
        <v>821</v>
      </c>
      <c r="D132" t="s">
        <v>841</v>
      </c>
      <c r="E132" s="2" t="str">
        <f>IF(AND(A132&lt;&gt;C132,A132&lt;&gt;"",C132&lt;&gt;""),"Conv","")</f>
        <v/>
      </c>
      <c r="F132" s="2" t="str">
        <f>IF(AND(A132&lt;&gt;C132,A132&lt;&gt;"",C132=""),"Ignore","")</f>
        <v/>
      </c>
    </row>
    <row r="133" spans="1:6" x14ac:dyDescent="0.25">
      <c r="A133" t="s">
        <v>824</v>
      </c>
      <c r="B133" t="s">
        <v>825</v>
      </c>
      <c r="C133" t="s">
        <v>824</v>
      </c>
      <c r="D133" t="s">
        <v>844</v>
      </c>
      <c r="E133" s="2" t="str">
        <f>IF(AND(A133&lt;&gt;C133,A133&lt;&gt;"",C133&lt;&gt;""),"Conv","")</f>
        <v/>
      </c>
      <c r="F133" s="2" t="str">
        <f>IF(AND(A133&lt;&gt;C133,A133&lt;&gt;"",C133=""),"Ignore","")</f>
        <v/>
      </c>
    </row>
    <row r="134" spans="1:6" x14ac:dyDescent="0.25">
      <c r="A134" t="s">
        <v>827</v>
      </c>
      <c r="B134" t="s">
        <v>828</v>
      </c>
      <c r="C134" t="s">
        <v>827</v>
      </c>
      <c r="D134" t="s">
        <v>847</v>
      </c>
      <c r="E134" s="2" t="str">
        <f>IF(AND(A134&lt;&gt;C134,A134&lt;&gt;"",C134&lt;&gt;""),"Conv","")</f>
        <v/>
      </c>
      <c r="F134" s="2" t="str">
        <f>IF(AND(A134&lt;&gt;C134,A134&lt;&gt;"",C134=""),"Ignore","")</f>
        <v/>
      </c>
    </row>
    <row r="135" spans="1:6" x14ac:dyDescent="0.25">
      <c r="A135" t="s">
        <v>830</v>
      </c>
      <c r="B135" t="s">
        <v>831</v>
      </c>
      <c r="C135" t="s">
        <v>830</v>
      </c>
      <c r="D135" t="s">
        <v>850</v>
      </c>
      <c r="E135" s="2" t="str">
        <f>IF(AND(A135&lt;&gt;C135,A135&lt;&gt;"",C135&lt;&gt;""),"Conv","")</f>
        <v/>
      </c>
      <c r="F135" s="2" t="str">
        <f>IF(AND(A135&lt;&gt;C135,A135&lt;&gt;"",C135=""),"Ignore","")</f>
        <v/>
      </c>
    </row>
    <row r="136" spans="1:6" x14ac:dyDescent="0.25">
      <c r="A136" t="s">
        <v>833</v>
      </c>
      <c r="B136" t="s">
        <v>834</v>
      </c>
      <c r="C136" t="s">
        <v>833</v>
      </c>
      <c r="D136" t="s">
        <v>853</v>
      </c>
      <c r="E136" s="2" t="str">
        <f>IF(AND(A136&lt;&gt;C136,A136&lt;&gt;"",C136&lt;&gt;""),"Conv","")</f>
        <v/>
      </c>
      <c r="F136" s="2" t="str">
        <f>IF(AND(A136&lt;&gt;C136,A136&lt;&gt;"",C136=""),"Ignore","")</f>
        <v/>
      </c>
    </row>
    <row r="137" spans="1:6" x14ac:dyDescent="0.25">
      <c r="A137" t="s">
        <v>836</v>
      </c>
      <c r="B137" t="s">
        <v>837</v>
      </c>
      <c r="C137" t="s">
        <v>836</v>
      </c>
      <c r="D137" t="s">
        <v>856</v>
      </c>
      <c r="E137" s="2" t="str">
        <f>IF(AND(A137&lt;&gt;C137,A137&lt;&gt;"",C137&lt;&gt;""),"Conv","")</f>
        <v/>
      </c>
      <c r="F137" s="2" t="str">
        <f>IF(AND(A137&lt;&gt;C137,A137&lt;&gt;"",C137=""),"Ignore","")</f>
        <v/>
      </c>
    </row>
    <row r="138" spans="1:6" x14ac:dyDescent="0.25">
      <c r="A138" t="s">
        <v>839</v>
      </c>
      <c r="B138" t="s">
        <v>840</v>
      </c>
      <c r="C138" t="s">
        <v>839</v>
      </c>
      <c r="D138" t="s">
        <v>859</v>
      </c>
      <c r="E138" s="2" t="str">
        <f>IF(AND(A138&lt;&gt;C138,A138&lt;&gt;"",C138&lt;&gt;""),"Conv","")</f>
        <v/>
      </c>
      <c r="F138" s="2" t="str">
        <f>IF(AND(A138&lt;&gt;C138,A138&lt;&gt;"",C138=""),"Ignore","")</f>
        <v/>
      </c>
    </row>
    <row r="139" spans="1:6" x14ac:dyDescent="0.25">
      <c r="A139" t="s">
        <v>842</v>
      </c>
      <c r="B139" t="s">
        <v>843</v>
      </c>
      <c r="C139" t="s">
        <v>842</v>
      </c>
      <c r="D139" t="s">
        <v>862</v>
      </c>
      <c r="E139" s="2" t="str">
        <f>IF(AND(A139&lt;&gt;C139,A139&lt;&gt;"",C139&lt;&gt;""),"Conv","")</f>
        <v/>
      </c>
      <c r="F139" s="2" t="str">
        <f>IF(AND(A139&lt;&gt;C139,A139&lt;&gt;"",C139=""),"Ignore","")</f>
        <v/>
      </c>
    </row>
    <row r="140" spans="1:6" x14ac:dyDescent="0.25">
      <c r="A140" t="s">
        <v>845</v>
      </c>
      <c r="B140" t="s">
        <v>846</v>
      </c>
      <c r="C140" t="s">
        <v>845</v>
      </c>
      <c r="D140" t="s">
        <v>865</v>
      </c>
      <c r="E140" s="2" t="str">
        <f>IF(AND(A140&lt;&gt;C140,A140&lt;&gt;"",C140&lt;&gt;""),"Conv","")</f>
        <v/>
      </c>
      <c r="F140" s="2" t="str">
        <f>IF(AND(A140&lt;&gt;C140,A140&lt;&gt;"",C140=""),"Ignore","")</f>
        <v/>
      </c>
    </row>
    <row r="141" spans="1:6" x14ac:dyDescent="0.25">
      <c r="A141" t="s">
        <v>848</v>
      </c>
      <c r="B141" t="s">
        <v>849</v>
      </c>
      <c r="C141" t="s">
        <v>848</v>
      </c>
      <c r="D141" t="s">
        <v>867</v>
      </c>
      <c r="E141" s="2" t="str">
        <f>IF(AND(A141&lt;&gt;C141,A141&lt;&gt;"",C141&lt;&gt;""),"Conv","")</f>
        <v/>
      </c>
      <c r="F141" s="2" t="str">
        <f>IF(AND(A141&lt;&gt;C141,A141&lt;&gt;"",C141=""),"Ignore","")</f>
        <v/>
      </c>
    </row>
    <row r="142" spans="1:6" x14ac:dyDescent="0.25">
      <c r="A142" t="s">
        <v>851</v>
      </c>
      <c r="B142" t="s">
        <v>852</v>
      </c>
      <c r="C142" t="s">
        <v>851</v>
      </c>
      <c r="D142" t="s">
        <v>870</v>
      </c>
      <c r="E142" s="2" t="str">
        <f>IF(AND(A142&lt;&gt;C142,A142&lt;&gt;"",C142&lt;&gt;""),"Conv","")</f>
        <v/>
      </c>
      <c r="F142" s="2" t="str">
        <f>IF(AND(A142&lt;&gt;C142,A142&lt;&gt;"",C142=""),"Ignore","")</f>
        <v/>
      </c>
    </row>
    <row r="143" spans="1:6" x14ac:dyDescent="0.25">
      <c r="A143" t="s">
        <v>854</v>
      </c>
      <c r="B143" t="s">
        <v>855</v>
      </c>
      <c r="C143" t="s">
        <v>854</v>
      </c>
      <c r="D143" t="s">
        <v>873</v>
      </c>
      <c r="E143" s="2" t="str">
        <f>IF(AND(A143&lt;&gt;C143,A143&lt;&gt;"",C143&lt;&gt;""),"Conv","")</f>
        <v/>
      </c>
      <c r="F143" s="2" t="str">
        <f>IF(AND(A143&lt;&gt;C143,A143&lt;&gt;"",C143=""),"Ignore","")</f>
        <v/>
      </c>
    </row>
    <row r="144" spans="1:6" x14ac:dyDescent="0.25">
      <c r="A144" t="s">
        <v>857</v>
      </c>
      <c r="B144" t="s">
        <v>858</v>
      </c>
      <c r="C144" t="s">
        <v>857</v>
      </c>
      <c r="D144" t="s">
        <v>876</v>
      </c>
      <c r="E144" s="2" t="str">
        <f>IF(AND(A144&lt;&gt;C144,A144&lt;&gt;"",C144&lt;&gt;""),"Conv","")</f>
        <v/>
      </c>
      <c r="F144" s="2" t="str">
        <f>IF(AND(A144&lt;&gt;C144,A144&lt;&gt;"",C144=""),"Ignore","")</f>
        <v/>
      </c>
    </row>
    <row r="145" spans="1:6" x14ac:dyDescent="0.25">
      <c r="A145" t="s">
        <v>860</v>
      </c>
      <c r="B145" t="s">
        <v>861</v>
      </c>
      <c r="C145" t="s">
        <v>860</v>
      </c>
      <c r="D145" t="s">
        <v>879</v>
      </c>
      <c r="E145" s="2" t="str">
        <f>IF(AND(A145&lt;&gt;C145,A145&lt;&gt;"",C145&lt;&gt;""),"Conv","")</f>
        <v/>
      </c>
      <c r="F145" s="2" t="str">
        <f>IF(AND(A145&lt;&gt;C145,A145&lt;&gt;"",C145=""),"Ignore","")</f>
        <v/>
      </c>
    </row>
    <row r="146" spans="1:6" x14ac:dyDescent="0.25">
      <c r="A146" t="s">
        <v>863</v>
      </c>
      <c r="B146" t="s">
        <v>864</v>
      </c>
      <c r="C146" t="s">
        <v>863</v>
      </c>
      <c r="D146" t="s">
        <v>882</v>
      </c>
      <c r="E146" s="2" t="str">
        <f>IF(AND(A146&lt;&gt;C146,A146&lt;&gt;"",C146&lt;&gt;""),"Conv","")</f>
        <v/>
      </c>
      <c r="F146" s="2" t="str">
        <f>IF(AND(A146&lt;&gt;C146,A146&lt;&gt;"",C146=""),"Ignore","")</f>
        <v/>
      </c>
    </row>
    <row r="147" spans="1:6" x14ac:dyDescent="0.25">
      <c r="A147" t="s">
        <v>866</v>
      </c>
      <c r="B147" t="s">
        <v>1127</v>
      </c>
      <c r="C147" t="s">
        <v>866</v>
      </c>
      <c r="D147" t="s">
        <v>885</v>
      </c>
      <c r="E147" s="2" t="str">
        <f>IF(AND(A147&lt;&gt;C147,A147&lt;&gt;"",C147&lt;&gt;""),"Conv","")</f>
        <v/>
      </c>
      <c r="F147" s="2" t="str">
        <f>IF(AND(A147&lt;&gt;C147,A147&lt;&gt;"",C147=""),"Ignore","")</f>
        <v/>
      </c>
    </row>
    <row r="148" spans="1:6" x14ac:dyDescent="0.25">
      <c r="A148" t="s">
        <v>868</v>
      </c>
      <c r="B148" t="s">
        <v>869</v>
      </c>
      <c r="C148" t="s">
        <v>868</v>
      </c>
      <c r="D148" t="s">
        <v>888</v>
      </c>
      <c r="E148" s="2" t="str">
        <f>IF(AND(A148&lt;&gt;C148,A148&lt;&gt;"",C148&lt;&gt;""),"Conv","")</f>
        <v/>
      </c>
      <c r="F148" s="2" t="str">
        <f>IF(AND(A148&lt;&gt;C148,A148&lt;&gt;"",C148=""),"Ignore","")</f>
        <v/>
      </c>
    </row>
    <row r="149" spans="1:6" x14ac:dyDescent="0.25">
      <c r="A149" t="s">
        <v>871</v>
      </c>
      <c r="B149" t="s">
        <v>872</v>
      </c>
      <c r="C149" t="s">
        <v>871</v>
      </c>
      <c r="D149" t="s">
        <v>891</v>
      </c>
      <c r="E149" s="2" t="str">
        <f>IF(AND(A149&lt;&gt;C149,A149&lt;&gt;"",C149&lt;&gt;""),"Conv","")</f>
        <v/>
      </c>
      <c r="F149" s="2" t="str">
        <f>IF(AND(A149&lt;&gt;C149,A149&lt;&gt;"",C149=""),"Ignore","")</f>
        <v/>
      </c>
    </row>
    <row r="150" spans="1:6" x14ac:dyDescent="0.25">
      <c r="C150" t="s">
        <v>874</v>
      </c>
      <c r="D150" t="s">
        <v>894</v>
      </c>
      <c r="E150" s="2" t="str">
        <f>IF(AND(A150&lt;&gt;C150,A150&lt;&gt;"",C150&lt;&gt;""),"Conv","")</f>
        <v/>
      </c>
      <c r="F150" s="2" t="str">
        <f>IF(AND(A150&lt;&gt;C150,A150&lt;&gt;"",C150=""),"Ignore","")</f>
        <v/>
      </c>
    </row>
    <row r="151" spans="1:6" x14ac:dyDescent="0.25">
      <c r="A151" t="s">
        <v>877</v>
      </c>
      <c r="B151" t="s">
        <v>878</v>
      </c>
      <c r="C151" t="s">
        <v>877</v>
      </c>
      <c r="D151" t="s">
        <v>897</v>
      </c>
      <c r="E151" s="2" t="str">
        <f>IF(AND(A151&lt;&gt;C151,A151&lt;&gt;"",C151&lt;&gt;""),"Conv","")</f>
        <v/>
      </c>
      <c r="F151" s="2" t="str">
        <f>IF(AND(A151&lt;&gt;C151,A151&lt;&gt;"",C151=""),"Ignore","")</f>
        <v/>
      </c>
    </row>
    <row r="152" spans="1:6" x14ac:dyDescent="0.25">
      <c r="A152" t="s">
        <v>880</v>
      </c>
      <c r="B152" t="s">
        <v>881</v>
      </c>
      <c r="C152" t="s">
        <v>880</v>
      </c>
      <c r="D152" t="s">
        <v>900</v>
      </c>
      <c r="E152" s="2" t="str">
        <f>IF(AND(A152&lt;&gt;C152,A152&lt;&gt;"",C152&lt;&gt;""),"Conv","")</f>
        <v/>
      </c>
      <c r="F152" s="2" t="str">
        <f>IF(AND(A152&lt;&gt;C152,A152&lt;&gt;"",C152=""),"Ignore","")</f>
        <v/>
      </c>
    </row>
    <row r="153" spans="1:6" x14ac:dyDescent="0.25">
      <c r="A153" t="s">
        <v>883</v>
      </c>
      <c r="B153" t="s">
        <v>884</v>
      </c>
      <c r="C153" t="s">
        <v>883</v>
      </c>
      <c r="D153" t="s">
        <v>903</v>
      </c>
      <c r="E153" s="2" t="str">
        <f>IF(AND(A153&lt;&gt;C153,A153&lt;&gt;"",C153&lt;&gt;""),"Conv","")</f>
        <v/>
      </c>
      <c r="F153" s="2" t="str">
        <f>IF(AND(A153&lt;&gt;C153,A153&lt;&gt;"",C153=""),"Ignore","")</f>
        <v/>
      </c>
    </row>
    <row r="154" spans="1:6" x14ac:dyDescent="0.25">
      <c r="A154" t="s">
        <v>886</v>
      </c>
      <c r="B154" t="s">
        <v>887</v>
      </c>
      <c r="C154" t="s">
        <v>886</v>
      </c>
      <c r="D154" t="s">
        <v>906</v>
      </c>
      <c r="E154" s="2" t="str">
        <f>IF(AND(A154&lt;&gt;C154,A154&lt;&gt;"",C154&lt;&gt;""),"Conv","")</f>
        <v/>
      </c>
      <c r="F154" s="2" t="str">
        <f>IF(AND(A154&lt;&gt;C154,A154&lt;&gt;"",C154=""),"Ignore","")</f>
        <v/>
      </c>
    </row>
    <row r="155" spans="1:6" x14ac:dyDescent="0.25">
      <c r="A155" t="s">
        <v>889</v>
      </c>
      <c r="B155" t="s">
        <v>890</v>
      </c>
      <c r="C155" t="s">
        <v>889</v>
      </c>
      <c r="D155" t="s">
        <v>909</v>
      </c>
      <c r="E155" s="2" t="str">
        <f>IF(AND(A155&lt;&gt;C155,A155&lt;&gt;"",C155&lt;&gt;""),"Conv","")</f>
        <v/>
      </c>
      <c r="F155" s="2" t="str">
        <f>IF(AND(A155&lt;&gt;C155,A155&lt;&gt;"",C155=""),"Ignore","")</f>
        <v/>
      </c>
    </row>
    <row r="156" spans="1:6" x14ac:dyDescent="0.25">
      <c r="A156" t="s">
        <v>892</v>
      </c>
      <c r="B156" t="s">
        <v>893</v>
      </c>
      <c r="C156" t="s">
        <v>892</v>
      </c>
      <c r="D156" t="s">
        <v>912</v>
      </c>
      <c r="E156" s="2" t="str">
        <f>IF(AND(A156&lt;&gt;C156,A156&lt;&gt;"",C156&lt;&gt;""),"Conv","")</f>
        <v/>
      </c>
      <c r="F156" s="2" t="str">
        <f>IF(AND(A156&lt;&gt;C156,A156&lt;&gt;"",C156=""),"Ignore","")</f>
        <v/>
      </c>
    </row>
    <row r="157" spans="1:6" x14ac:dyDescent="0.25">
      <c r="A157" t="s">
        <v>895</v>
      </c>
      <c r="B157" t="s">
        <v>896</v>
      </c>
      <c r="C157" t="s">
        <v>895</v>
      </c>
      <c r="D157" t="s">
        <v>915</v>
      </c>
      <c r="E157" s="2" t="str">
        <f>IF(AND(A157&lt;&gt;C157,A157&lt;&gt;"",C157&lt;&gt;""),"Conv","")</f>
        <v/>
      </c>
      <c r="F157" s="2" t="str">
        <f>IF(AND(A157&lt;&gt;C157,A157&lt;&gt;"",C157=""),"Ignore","")</f>
        <v/>
      </c>
    </row>
    <row r="158" spans="1:6" x14ac:dyDescent="0.25">
      <c r="C158" t="s">
        <v>898</v>
      </c>
      <c r="D158" t="s">
        <v>918</v>
      </c>
      <c r="E158" s="2" t="str">
        <f>IF(AND(A158&lt;&gt;C158,A158&lt;&gt;"",C158&lt;&gt;""),"Conv","")</f>
        <v/>
      </c>
      <c r="F158" s="2" t="str">
        <f>IF(AND(A158&lt;&gt;C158,A158&lt;&gt;"",C158=""),"Ignore","")</f>
        <v/>
      </c>
    </row>
    <row r="159" spans="1:6" x14ac:dyDescent="0.25">
      <c r="A159" t="s">
        <v>901</v>
      </c>
      <c r="B159" t="s">
        <v>902</v>
      </c>
      <c r="C159" t="s">
        <v>901</v>
      </c>
      <c r="D159" t="s">
        <v>921</v>
      </c>
      <c r="E159" s="2" t="str">
        <f>IF(AND(A159&lt;&gt;C159,A159&lt;&gt;"",C159&lt;&gt;""),"Conv","")</f>
        <v/>
      </c>
      <c r="F159" s="2" t="str">
        <f>IF(AND(A159&lt;&gt;C159,A159&lt;&gt;"",C159=""),"Ignore","")</f>
        <v/>
      </c>
    </row>
    <row r="160" spans="1:6" x14ac:dyDescent="0.25">
      <c r="A160" t="s">
        <v>904</v>
      </c>
      <c r="B160" t="s">
        <v>905</v>
      </c>
      <c r="C160" t="s">
        <v>904</v>
      </c>
      <c r="D160" t="s">
        <v>924</v>
      </c>
      <c r="E160" s="2" t="str">
        <f>IF(AND(A160&lt;&gt;C160,A160&lt;&gt;"",C160&lt;&gt;""),"Conv","")</f>
        <v/>
      </c>
      <c r="F160" s="2" t="str">
        <f>IF(AND(A160&lt;&gt;C160,A160&lt;&gt;"",C160=""),"Ignore","")</f>
        <v/>
      </c>
    </row>
    <row r="161" spans="1:6" x14ac:dyDescent="0.25">
      <c r="A161" t="s">
        <v>907</v>
      </c>
      <c r="B161" t="s">
        <v>908</v>
      </c>
      <c r="C161" t="s">
        <v>907</v>
      </c>
      <c r="D161" t="s">
        <v>927</v>
      </c>
      <c r="E161" s="2" t="str">
        <f>IF(AND(A161&lt;&gt;C161,A161&lt;&gt;"",C161&lt;&gt;""),"Conv","")</f>
        <v/>
      </c>
      <c r="F161" s="2" t="str">
        <f>IF(AND(A161&lt;&gt;C161,A161&lt;&gt;"",C161=""),"Ignore","")</f>
        <v/>
      </c>
    </row>
    <row r="162" spans="1:6" x14ac:dyDescent="0.25">
      <c r="C162" t="s">
        <v>930</v>
      </c>
      <c r="D162" t="s">
        <v>931</v>
      </c>
      <c r="E162" s="2" t="str">
        <f>IF(AND(A162&lt;&gt;C162,A162&lt;&gt;"",C162&lt;&gt;""),"Conv","")</f>
        <v/>
      </c>
      <c r="F162" s="2" t="str">
        <f>IF(AND(A162&lt;&gt;C162,A162&lt;&gt;"",C162=""),"Ignore","")</f>
        <v/>
      </c>
    </row>
    <row r="163" spans="1:6" x14ac:dyDescent="0.25">
      <c r="C163" t="s">
        <v>934</v>
      </c>
      <c r="D163" t="s">
        <v>935</v>
      </c>
      <c r="E163" s="2" t="str">
        <f>IF(AND(A163&lt;&gt;C163,A163&lt;&gt;"",C163&lt;&gt;""),"Conv","")</f>
        <v/>
      </c>
      <c r="F163" s="2" t="str">
        <f>IF(AND(A163&lt;&gt;C163,A163&lt;&gt;"",C163=""),"Ignore","")</f>
        <v/>
      </c>
    </row>
    <row r="164" spans="1:6" x14ac:dyDescent="0.25">
      <c r="C164" t="s">
        <v>938</v>
      </c>
      <c r="D164" t="s">
        <v>1128</v>
      </c>
      <c r="E164" s="2" t="str">
        <f>IF(AND(A164&lt;&gt;C164,A164&lt;&gt;"",C164&lt;&gt;""),"Conv","")</f>
        <v/>
      </c>
      <c r="F164" s="2" t="str">
        <f>IF(AND(A164&lt;&gt;C164,A164&lt;&gt;"",C164=""),"Ignore","")</f>
        <v/>
      </c>
    </row>
    <row r="165" spans="1:6" x14ac:dyDescent="0.25">
      <c r="C165" t="s">
        <v>941</v>
      </c>
      <c r="D165" t="s">
        <v>942</v>
      </c>
      <c r="E165" s="2" t="str">
        <f>IF(AND(A165&lt;&gt;C165,A165&lt;&gt;"",C165&lt;&gt;""),"Conv","")</f>
        <v/>
      </c>
      <c r="F165" s="2" t="str">
        <f>IF(AND(A165&lt;&gt;C165,A165&lt;&gt;"",C165=""),"Ignore","")</f>
        <v/>
      </c>
    </row>
    <row r="166" spans="1:6" x14ac:dyDescent="0.25">
      <c r="C166" t="s">
        <v>945</v>
      </c>
      <c r="D166" t="s">
        <v>946</v>
      </c>
      <c r="E166" s="2" t="str">
        <f>IF(AND(A166&lt;&gt;C166,A166&lt;&gt;"",C166&lt;&gt;""),"Conv","")</f>
        <v/>
      </c>
      <c r="F166" s="2" t="str">
        <f>IF(AND(A166&lt;&gt;C166,A166&lt;&gt;"",C166=""),"Ignore","")</f>
        <v/>
      </c>
    </row>
    <row r="167" spans="1:6" x14ac:dyDescent="0.25">
      <c r="C167" t="s">
        <v>948</v>
      </c>
      <c r="D167" t="s">
        <v>949</v>
      </c>
      <c r="E167" s="2" t="str">
        <f>IF(AND(A167&lt;&gt;C167,A167&lt;&gt;"",C167&lt;&gt;""),"Conv","")</f>
        <v/>
      </c>
      <c r="F167" s="2" t="str">
        <f>IF(AND(A167&lt;&gt;C167,A167&lt;&gt;"",C167=""),"Ignore","")</f>
        <v/>
      </c>
    </row>
    <row r="168" spans="1:6" x14ac:dyDescent="0.25">
      <c r="A168" t="s">
        <v>910</v>
      </c>
      <c r="B168" t="s">
        <v>911</v>
      </c>
      <c r="C168" t="s">
        <v>910</v>
      </c>
      <c r="D168" t="s">
        <v>952</v>
      </c>
      <c r="E168" s="2" t="str">
        <f>IF(AND(A168&lt;&gt;C168,A168&lt;&gt;"",C168&lt;&gt;""),"Conv","")</f>
        <v/>
      </c>
      <c r="F168" s="2" t="str">
        <f>IF(AND(A168&lt;&gt;C168,A168&lt;&gt;"",C168=""),"Ignore","")</f>
        <v/>
      </c>
    </row>
    <row r="169" spans="1:6" x14ac:dyDescent="0.25">
      <c r="A169" t="s">
        <v>913</v>
      </c>
      <c r="B169" t="s">
        <v>914</v>
      </c>
      <c r="C169" t="s">
        <v>913</v>
      </c>
      <c r="D169" t="s">
        <v>955</v>
      </c>
      <c r="E169" s="2" t="str">
        <f>IF(AND(A169&lt;&gt;C169,A169&lt;&gt;"",C169&lt;&gt;""),"Conv","")</f>
        <v/>
      </c>
      <c r="F169" s="2" t="str">
        <f>IF(AND(A169&lt;&gt;C169,A169&lt;&gt;"",C169=""),"Ignore","")</f>
        <v/>
      </c>
    </row>
    <row r="170" spans="1:6" x14ac:dyDescent="0.25">
      <c r="A170" t="s">
        <v>916</v>
      </c>
      <c r="B170" t="s">
        <v>917</v>
      </c>
      <c r="C170" t="s">
        <v>916</v>
      </c>
      <c r="D170" t="s">
        <v>958</v>
      </c>
      <c r="E170" s="2" t="str">
        <f>IF(AND(A170&lt;&gt;C170,A170&lt;&gt;"",C170&lt;&gt;""),"Conv","")</f>
        <v/>
      </c>
      <c r="F170" s="2" t="str">
        <f>IF(AND(A170&lt;&gt;C170,A170&lt;&gt;"",C170=""),"Ignore","")</f>
        <v/>
      </c>
    </row>
    <row r="171" spans="1:6" x14ac:dyDescent="0.25">
      <c r="A171" t="s">
        <v>919</v>
      </c>
      <c r="B171" t="s">
        <v>920</v>
      </c>
      <c r="C171" t="s">
        <v>919</v>
      </c>
      <c r="D171" t="s">
        <v>961</v>
      </c>
      <c r="E171" s="2" t="str">
        <f>IF(AND(A171&lt;&gt;C171,A171&lt;&gt;"",C171&lt;&gt;""),"Conv","")</f>
        <v/>
      </c>
      <c r="F171" s="2" t="str">
        <f>IF(AND(A171&lt;&gt;C171,A171&lt;&gt;"",C171=""),"Ignore","")</f>
        <v/>
      </c>
    </row>
    <row r="172" spans="1:6" x14ac:dyDescent="0.25">
      <c r="A172" t="s">
        <v>922</v>
      </c>
      <c r="B172" t="s">
        <v>923</v>
      </c>
      <c r="C172" t="s">
        <v>922</v>
      </c>
      <c r="D172" t="s">
        <v>964</v>
      </c>
      <c r="E172" s="2" t="str">
        <f>IF(AND(A172&lt;&gt;C172,A172&lt;&gt;"",C172&lt;&gt;""),"Conv","")</f>
        <v/>
      </c>
      <c r="F172" s="2" t="str">
        <f>IF(AND(A172&lt;&gt;C172,A172&lt;&gt;"",C172=""),"Ignore","")</f>
        <v/>
      </c>
    </row>
    <row r="173" spans="1:6" x14ac:dyDescent="0.25">
      <c r="A173" t="s">
        <v>925</v>
      </c>
      <c r="B173" t="s">
        <v>926</v>
      </c>
      <c r="C173" t="s">
        <v>925</v>
      </c>
      <c r="D173" t="s">
        <v>967</v>
      </c>
      <c r="E173" s="2" t="str">
        <f>IF(AND(A173&lt;&gt;C173,A173&lt;&gt;"",C173&lt;&gt;""),"Conv","")</f>
        <v/>
      </c>
      <c r="F173" s="2" t="str">
        <f>IF(AND(A173&lt;&gt;C173,A173&lt;&gt;"",C173=""),"Ignore","")</f>
        <v/>
      </c>
    </row>
    <row r="174" spans="1:6" x14ac:dyDescent="0.25">
      <c r="A174" t="s">
        <v>928</v>
      </c>
      <c r="B174" t="s">
        <v>929</v>
      </c>
      <c r="C174" t="s">
        <v>928</v>
      </c>
      <c r="D174" t="s">
        <v>970</v>
      </c>
      <c r="E174" s="2" t="str">
        <f>IF(AND(A174&lt;&gt;C174,A174&lt;&gt;"",C174&lt;&gt;""),"Conv","")</f>
        <v/>
      </c>
      <c r="F174" s="2" t="str">
        <f>IF(AND(A174&lt;&gt;C174,A174&lt;&gt;"",C174=""),"Ignore","")</f>
        <v/>
      </c>
    </row>
    <row r="175" spans="1:6" x14ac:dyDescent="0.25">
      <c r="A175" t="s">
        <v>932</v>
      </c>
      <c r="B175" t="s">
        <v>933</v>
      </c>
      <c r="C175" t="s">
        <v>932</v>
      </c>
      <c r="D175" t="s">
        <v>973</v>
      </c>
      <c r="E175" s="2" t="str">
        <f>IF(AND(A175&lt;&gt;C175,A175&lt;&gt;"",C175&lt;&gt;""),"Conv","")</f>
        <v/>
      </c>
      <c r="F175" s="2" t="str">
        <f>IF(AND(A175&lt;&gt;C175,A175&lt;&gt;"",C175=""),"Ignore","")</f>
        <v/>
      </c>
    </row>
    <row r="176" spans="1:6" x14ac:dyDescent="0.25">
      <c r="A176" t="s">
        <v>936</v>
      </c>
      <c r="B176" t="s">
        <v>937</v>
      </c>
      <c r="C176" t="s">
        <v>936</v>
      </c>
      <c r="D176" t="s">
        <v>976</v>
      </c>
      <c r="E176" s="2" t="str">
        <f>IF(AND(A176&lt;&gt;C176,A176&lt;&gt;"",C176&lt;&gt;""),"Conv","")</f>
        <v/>
      </c>
      <c r="F176" s="2" t="str">
        <f>IF(AND(A176&lt;&gt;C176,A176&lt;&gt;"",C176=""),"Ignore","")</f>
        <v/>
      </c>
    </row>
    <row r="177" spans="1:6" x14ac:dyDescent="0.25">
      <c r="A177" t="s">
        <v>939</v>
      </c>
      <c r="B177" t="s">
        <v>940</v>
      </c>
      <c r="C177" t="s">
        <v>939</v>
      </c>
      <c r="D177" t="s">
        <v>979</v>
      </c>
      <c r="E177" s="2" t="str">
        <f>IF(AND(A177&lt;&gt;C177,A177&lt;&gt;"",C177&lt;&gt;""),"Conv","")</f>
        <v/>
      </c>
      <c r="F177" s="2" t="str">
        <f>IF(AND(A177&lt;&gt;C177,A177&lt;&gt;"",C177=""),"Ignore","")</f>
        <v/>
      </c>
    </row>
    <row r="178" spans="1:6" x14ac:dyDescent="0.25">
      <c r="A178" t="s">
        <v>943</v>
      </c>
      <c r="B178" t="s">
        <v>944</v>
      </c>
      <c r="C178" t="s">
        <v>943</v>
      </c>
      <c r="D178" t="s">
        <v>982</v>
      </c>
      <c r="E178" s="2" t="str">
        <f>IF(AND(A178&lt;&gt;C178,A178&lt;&gt;"",C178&lt;&gt;""),"Conv","")</f>
        <v/>
      </c>
      <c r="F178" s="2" t="str">
        <f>IF(AND(A178&lt;&gt;C178,A178&lt;&gt;"",C178=""),"Ignore","")</f>
        <v/>
      </c>
    </row>
    <row r="179" spans="1:6" x14ac:dyDescent="0.25">
      <c r="A179" t="s">
        <v>947</v>
      </c>
      <c r="B179" t="s">
        <v>695</v>
      </c>
      <c r="C179" t="s">
        <v>947</v>
      </c>
      <c r="D179" t="s">
        <v>568</v>
      </c>
      <c r="E179" s="2" t="str">
        <f>IF(AND(A179&lt;&gt;C179,A179&lt;&gt;"",C179&lt;&gt;""),"Conv","")</f>
        <v/>
      </c>
      <c r="F179" s="2" t="str">
        <f>IF(AND(A179&lt;&gt;C179,A179&lt;&gt;"",C179=""),"Ignore","")</f>
        <v/>
      </c>
    </row>
    <row r="180" spans="1:6" x14ac:dyDescent="0.25">
      <c r="A180" t="s">
        <v>950</v>
      </c>
      <c r="B180" t="s">
        <v>951</v>
      </c>
      <c r="C180" t="s">
        <v>950</v>
      </c>
      <c r="D180" t="s">
        <v>987</v>
      </c>
      <c r="E180" s="2" t="str">
        <f>IF(AND(A180&lt;&gt;C180,A180&lt;&gt;"",C180&lt;&gt;""),"Conv","")</f>
        <v/>
      </c>
      <c r="F180" s="2" t="str">
        <f>IF(AND(A180&lt;&gt;C180,A180&lt;&gt;"",C180=""),"Ignore","")</f>
        <v/>
      </c>
    </row>
    <row r="181" spans="1:6" x14ac:dyDescent="0.25">
      <c r="C181" t="s">
        <v>953</v>
      </c>
      <c r="D181" t="s">
        <v>990</v>
      </c>
      <c r="E181" s="2" t="str">
        <f>IF(AND(A181&lt;&gt;C181,A181&lt;&gt;"",C181&lt;&gt;""),"Conv","")</f>
        <v/>
      </c>
      <c r="F181" s="2" t="str">
        <f>IF(AND(A181&lt;&gt;C181,A181&lt;&gt;"",C181=""),"Ignore","")</f>
        <v/>
      </c>
    </row>
    <row r="182" spans="1:6" x14ac:dyDescent="0.25">
      <c r="C182" t="s">
        <v>956</v>
      </c>
      <c r="D182" t="s">
        <v>993</v>
      </c>
      <c r="E182" s="2" t="str">
        <f>IF(AND(A182&lt;&gt;C182,A182&lt;&gt;"",C182&lt;&gt;""),"Conv","")</f>
        <v/>
      </c>
      <c r="F182" s="2" t="str">
        <f>IF(AND(A182&lt;&gt;C182,A182&lt;&gt;"",C182=""),"Ignore","")</f>
        <v/>
      </c>
    </row>
    <row r="183" spans="1:6" x14ac:dyDescent="0.25">
      <c r="A183" t="s">
        <v>959</v>
      </c>
      <c r="B183" t="s">
        <v>960</v>
      </c>
      <c r="C183" t="s">
        <v>959</v>
      </c>
      <c r="D183" t="s">
        <v>996</v>
      </c>
      <c r="E183" s="2" t="str">
        <f>IF(AND(A183&lt;&gt;C183,A183&lt;&gt;"",C183&lt;&gt;""),"Conv","")</f>
        <v/>
      </c>
      <c r="F183" s="2" t="str">
        <f>IF(AND(A183&lt;&gt;C183,A183&lt;&gt;"",C183=""),"Ignore","")</f>
        <v/>
      </c>
    </row>
    <row r="184" spans="1:6" x14ac:dyDescent="0.25">
      <c r="A184" t="s">
        <v>962</v>
      </c>
      <c r="B184" t="s">
        <v>963</v>
      </c>
      <c r="C184" t="s">
        <v>962</v>
      </c>
      <c r="D184" t="s">
        <v>624</v>
      </c>
      <c r="E184" s="2" t="str">
        <f>IF(AND(A184&lt;&gt;C184,A184&lt;&gt;"",C184&lt;&gt;""),"Conv","")</f>
        <v/>
      </c>
      <c r="F184" s="2" t="str">
        <f>IF(AND(A184&lt;&gt;C184,A184&lt;&gt;"",C184=""),"Ignore","")</f>
        <v/>
      </c>
    </row>
    <row r="185" spans="1:6" x14ac:dyDescent="0.25">
      <c r="A185" t="s">
        <v>977</v>
      </c>
      <c r="B185" t="s">
        <v>978</v>
      </c>
      <c r="C185" t="s">
        <v>965</v>
      </c>
      <c r="D185" t="s">
        <v>1001</v>
      </c>
      <c r="E185" s="2" t="str">
        <f>IF(AND(A185&lt;&gt;C185,A185&lt;&gt;"",C185&lt;&gt;""),"Conv","")</f>
        <v>Conv</v>
      </c>
      <c r="F185" s="2" t="str">
        <f>IF(AND(A185&lt;&gt;C185,A185&lt;&gt;"",C185=""),"Ignore","")</f>
        <v/>
      </c>
    </row>
    <row r="186" spans="1:6" x14ac:dyDescent="0.25">
      <c r="A186" t="s">
        <v>968</v>
      </c>
      <c r="B186" t="s">
        <v>969</v>
      </c>
      <c r="C186" t="s">
        <v>968</v>
      </c>
      <c r="D186" t="s">
        <v>1004</v>
      </c>
      <c r="E186" s="2" t="str">
        <f>IF(AND(A186&lt;&gt;C186,A186&lt;&gt;"",C186&lt;&gt;""),"Conv","")</f>
        <v/>
      </c>
      <c r="F186" s="2" t="str">
        <f>IF(AND(A186&lt;&gt;C186,A186&lt;&gt;"",C186=""),"Ignore","")</f>
        <v/>
      </c>
    </row>
    <row r="187" spans="1:6" x14ac:dyDescent="0.25">
      <c r="A187" t="s">
        <v>980</v>
      </c>
      <c r="B187" t="s">
        <v>981</v>
      </c>
      <c r="C187" t="s">
        <v>971</v>
      </c>
      <c r="D187" t="s">
        <v>1007</v>
      </c>
      <c r="E187" s="2" t="str">
        <f>IF(AND(A187&lt;&gt;C187,A187&lt;&gt;"",C187&lt;&gt;""),"Conv","")</f>
        <v>Conv</v>
      </c>
      <c r="F187" s="2" t="str">
        <f>IF(AND(A187&lt;&gt;C187,A187&lt;&gt;"",C187=""),"Ignore","")</f>
        <v/>
      </c>
    </row>
    <row r="188" spans="1:6" x14ac:dyDescent="0.25">
      <c r="A188" t="s">
        <v>985</v>
      </c>
      <c r="B188" t="s">
        <v>986</v>
      </c>
      <c r="C188" t="s">
        <v>974</v>
      </c>
      <c r="D188" t="s">
        <v>1010</v>
      </c>
      <c r="E188" s="2" t="str">
        <f>IF(AND(A188&lt;&gt;C188,A188&lt;&gt;"",C188&lt;&gt;""),"Conv","")</f>
        <v>Conv</v>
      </c>
      <c r="F188" s="2" t="str">
        <f>IF(AND(A188&lt;&gt;C188,A188&lt;&gt;"",C188=""),"Ignore","")</f>
        <v/>
      </c>
    </row>
    <row r="189" spans="1:6" x14ac:dyDescent="0.25">
      <c r="A189" t="s">
        <v>988</v>
      </c>
      <c r="B189" t="s">
        <v>989</v>
      </c>
      <c r="C189" t="s">
        <v>977</v>
      </c>
      <c r="D189" t="s">
        <v>1013</v>
      </c>
      <c r="E189" s="2" t="str">
        <f>IF(AND(A189&lt;&gt;C189,A189&lt;&gt;"",C189&lt;&gt;""),"Conv","")</f>
        <v>Conv</v>
      </c>
      <c r="F189" s="2" t="str">
        <f>IF(AND(A189&lt;&gt;C189,A189&lt;&gt;"",C189=""),"Ignore","")</f>
        <v/>
      </c>
    </row>
    <row r="190" spans="1:6" x14ac:dyDescent="0.25">
      <c r="A190" t="s">
        <v>994</v>
      </c>
      <c r="B190" t="s">
        <v>995</v>
      </c>
      <c r="C190" t="s">
        <v>991</v>
      </c>
      <c r="D190" t="s">
        <v>1016</v>
      </c>
      <c r="E190" s="2" t="str">
        <f>IF(AND(A190&lt;&gt;C190,A190&lt;&gt;"",C190&lt;&gt;""),"Conv","")</f>
        <v>Conv</v>
      </c>
      <c r="F190" s="2" t="str">
        <f>IF(AND(A190&lt;&gt;C190,A190&lt;&gt;"",C190=""),"Ignore","")</f>
        <v/>
      </c>
    </row>
    <row r="191" spans="1:6" x14ac:dyDescent="0.25">
      <c r="A191" t="s">
        <v>1028</v>
      </c>
      <c r="B191" t="s">
        <v>1029</v>
      </c>
      <c r="C191" t="s">
        <v>994</v>
      </c>
      <c r="D191" t="s">
        <v>1019</v>
      </c>
      <c r="E191" s="2" t="str">
        <f>IF(AND(A191&lt;&gt;C191,A191&lt;&gt;"",C191&lt;&gt;""),"Conv","")</f>
        <v>Conv</v>
      </c>
      <c r="F191" s="2" t="str">
        <f>IF(AND(A191&lt;&gt;C191,A191&lt;&gt;"",C191=""),"Ignore","")</f>
        <v/>
      </c>
    </row>
    <row r="192" spans="1:6" x14ac:dyDescent="0.25">
      <c r="A192" t="s">
        <v>1017</v>
      </c>
      <c r="B192" t="s">
        <v>1018</v>
      </c>
      <c r="C192" t="s">
        <v>997</v>
      </c>
      <c r="D192" t="s">
        <v>535</v>
      </c>
      <c r="E192" s="2" t="str">
        <f>IF(AND(A192&lt;&gt;C192,A192&lt;&gt;"",C192&lt;&gt;""),"Conv","")</f>
        <v>Conv</v>
      </c>
      <c r="F192" s="2" t="str">
        <f>IF(AND(A192&lt;&gt;C192,A192&lt;&gt;"",C192=""),"Ignore","")</f>
        <v/>
      </c>
    </row>
    <row r="193" spans="1:6" x14ac:dyDescent="0.25">
      <c r="C193" t="s">
        <v>999</v>
      </c>
      <c r="D193" t="s">
        <v>1024</v>
      </c>
      <c r="E193" s="2" t="str">
        <f>IF(AND(A193&lt;&gt;C193,A193&lt;&gt;"",C193&lt;&gt;""),"Conv","")</f>
        <v/>
      </c>
      <c r="F193" s="2" t="str">
        <f>IF(AND(A193&lt;&gt;C193,A193&lt;&gt;"",C193=""),"Ignore","")</f>
        <v/>
      </c>
    </row>
    <row r="194" spans="1:6" x14ac:dyDescent="0.25">
      <c r="A194" t="s">
        <v>1022</v>
      </c>
      <c r="B194" t="s">
        <v>1023</v>
      </c>
      <c r="C194" t="s">
        <v>1002</v>
      </c>
      <c r="D194" t="s">
        <v>1027</v>
      </c>
      <c r="E194" s="2" t="str">
        <f>IF(AND(A194&lt;&gt;C194,A194&lt;&gt;"",C194&lt;&gt;""),"Conv","")</f>
        <v>Conv</v>
      </c>
      <c r="F194" s="2" t="str">
        <f>IF(AND(A194&lt;&gt;C194,A194&lt;&gt;"",C194=""),"Ignore","")</f>
        <v/>
      </c>
    </row>
    <row r="195" spans="1:6" x14ac:dyDescent="0.25">
      <c r="A195" t="s">
        <v>1034</v>
      </c>
      <c r="B195" t="s">
        <v>1035</v>
      </c>
      <c r="C195" t="s">
        <v>1005</v>
      </c>
      <c r="D195" t="s">
        <v>1030</v>
      </c>
      <c r="E195" s="2" t="str">
        <f>IF(AND(A195&lt;&gt;C195,A195&lt;&gt;"",C195&lt;&gt;""),"Conv","")</f>
        <v>Conv</v>
      </c>
      <c r="F195" s="2" t="str">
        <f>IF(AND(A195&lt;&gt;C195,A195&lt;&gt;"",C195=""),"Ignore","")</f>
        <v/>
      </c>
    </row>
    <row r="196" spans="1:6" x14ac:dyDescent="0.25">
      <c r="A196" t="s">
        <v>1025</v>
      </c>
      <c r="B196" t="s">
        <v>1026</v>
      </c>
      <c r="C196" t="s">
        <v>1008</v>
      </c>
      <c r="D196" t="s">
        <v>1033</v>
      </c>
      <c r="E196" s="2" t="str">
        <f>IF(AND(A196&lt;&gt;C196,A196&lt;&gt;"",C196&lt;&gt;""),"Conv","")</f>
        <v>Conv</v>
      </c>
      <c r="F196" s="2" t="str">
        <f>IF(AND(A196&lt;&gt;C196,A196&lt;&gt;"",C196=""),"Ignore","")</f>
        <v/>
      </c>
    </row>
    <row r="197" spans="1:6" x14ac:dyDescent="0.25">
      <c r="A197" t="s">
        <v>1031</v>
      </c>
      <c r="B197" t="s">
        <v>1032</v>
      </c>
      <c r="C197" t="s">
        <v>1011</v>
      </c>
      <c r="D197" t="s">
        <v>1036</v>
      </c>
      <c r="E197" s="2" t="str">
        <f>IF(AND(A197&lt;&gt;C197,A197&lt;&gt;"",C197&lt;&gt;""),"Conv","")</f>
        <v>Conv</v>
      </c>
      <c r="F197" s="2" t="str">
        <f>IF(AND(A197&lt;&gt;C197,A197&lt;&gt;"",C197=""),"Ignore","")</f>
        <v/>
      </c>
    </row>
    <row r="198" spans="1:6" x14ac:dyDescent="0.25">
      <c r="A198" t="s">
        <v>1020</v>
      </c>
      <c r="B198" t="s">
        <v>1021</v>
      </c>
      <c r="C198" t="s">
        <v>1014</v>
      </c>
      <c r="D198" t="s">
        <v>1039</v>
      </c>
      <c r="E198" s="2" t="str">
        <f>IF(AND(A198&lt;&gt;C198,A198&lt;&gt;"",C198&lt;&gt;""),"Conv","")</f>
        <v>Conv</v>
      </c>
      <c r="F198" s="2" t="str">
        <f>IF(AND(A198&lt;&gt;C198,A198&lt;&gt;"",C198=""),"Ignore","")</f>
        <v/>
      </c>
    </row>
    <row r="199" spans="1:6" x14ac:dyDescent="0.25">
      <c r="C199" t="s">
        <v>1017</v>
      </c>
      <c r="D199" t="s">
        <v>1042</v>
      </c>
      <c r="E199" s="2"/>
      <c r="F199" s="2"/>
    </row>
    <row r="200" spans="1:6" x14ac:dyDescent="0.25">
      <c r="C200" t="s">
        <v>1020</v>
      </c>
      <c r="D200" t="s">
        <v>1045</v>
      </c>
      <c r="E200" s="2" t="str">
        <f>IF(AND(A200&lt;&gt;C200,A200&lt;&gt;"",C200&lt;&gt;""),"Conv","")</f>
        <v/>
      </c>
      <c r="F200" s="2" t="str">
        <f>IF(AND(A200&lt;&gt;C200,A200&lt;&gt;"",C200=""),"Ignore","")</f>
        <v/>
      </c>
    </row>
    <row r="201" spans="1:6" x14ac:dyDescent="0.25">
      <c r="C201" t="s">
        <v>1048</v>
      </c>
      <c r="D201" t="s">
        <v>1049</v>
      </c>
      <c r="E201" s="2" t="str">
        <f>IF(AND(A201&lt;&gt;C201,A201&lt;&gt;"",C201&lt;&gt;""),"Conv","")</f>
        <v/>
      </c>
      <c r="F201" s="2" t="str">
        <f>IF(AND(A201&lt;&gt;C201,A201&lt;&gt;"",C201=""),"Ignore","")</f>
        <v/>
      </c>
    </row>
    <row r="202" spans="1:6" x14ac:dyDescent="0.25">
      <c r="C202" t="s">
        <v>1052</v>
      </c>
      <c r="D202" t="s">
        <v>1053</v>
      </c>
      <c r="E202" s="2" t="str">
        <f>IF(AND(A202&lt;&gt;C202,A202&lt;&gt;"",C202&lt;&gt;""),"Conv","")</f>
        <v/>
      </c>
      <c r="F202" s="2" t="str">
        <f>IF(AND(A202&lt;&gt;C202,A202&lt;&gt;"",C202=""),"Ignore","")</f>
        <v/>
      </c>
    </row>
    <row r="203" spans="1:6" x14ac:dyDescent="0.25">
      <c r="A203" t="s">
        <v>971</v>
      </c>
      <c r="B203" t="s">
        <v>972</v>
      </c>
      <c r="C203" t="s">
        <v>1056</v>
      </c>
      <c r="D203" t="s">
        <v>1057</v>
      </c>
      <c r="E203" s="2" t="str">
        <f>IF(AND(A203&lt;&gt;C203,A203&lt;&gt;"",C203&lt;&gt;""),"Conv","")</f>
        <v>Conv</v>
      </c>
      <c r="F203" s="2" t="str">
        <f>IF(AND(A203&lt;&gt;C203,A203&lt;&gt;"",C203=""),"Ignore","")</f>
        <v/>
      </c>
    </row>
    <row r="204" spans="1:6" x14ac:dyDescent="0.25">
      <c r="A204" t="s">
        <v>974</v>
      </c>
      <c r="B204" t="s">
        <v>975</v>
      </c>
      <c r="C204" t="s">
        <v>1060</v>
      </c>
      <c r="D204" t="s">
        <v>1061</v>
      </c>
      <c r="E204" s="2" t="str">
        <f>IF(AND(A204&lt;&gt;C204,A204&lt;&gt;"",C204&lt;&gt;""),"Conv","")</f>
        <v>Conv</v>
      </c>
      <c r="F204" s="2" t="str">
        <f>IF(AND(A204&lt;&gt;C204,A204&lt;&gt;"",C204=""),"Ignore","")</f>
        <v/>
      </c>
    </row>
    <row r="205" spans="1:6" x14ac:dyDescent="0.25">
      <c r="C205" t="s">
        <v>1064</v>
      </c>
      <c r="D205" t="s">
        <v>1065</v>
      </c>
      <c r="E205" s="2" t="str">
        <f>IF(AND(A205&lt;&gt;C205,A205&lt;&gt;"",C205&lt;&gt;""),"Conv","")</f>
        <v/>
      </c>
      <c r="F205" s="2" t="str">
        <f>IF(AND(A205&lt;&gt;C205,A205&lt;&gt;"",C205=""),"Ignore","")</f>
        <v/>
      </c>
    </row>
    <row r="206" spans="1:6" x14ac:dyDescent="0.25">
      <c r="A206" t="s">
        <v>761</v>
      </c>
      <c r="B206" t="s">
        <v>762</v>
      </c>
      <c r="C206" t="s">
        <v>1068</v>
      </c>
      <c r="D206" t="s">
        <v>1069</v>
      </c>
      <c r="E206" s="2" t="str">
        <f>IF(AND(A206&lt;&gt;C206,A206&lt;&gt;"",C206&lt;&gt;""),"Conv","")</f>
        <v>Conv</v>
      </c>
      <c r="F206" s="2" t="str">
        <f>IF(AND(A206&lt;&gt;C206,A206&lt;&gt;"",C206=""),"Ignore","")</f>
        <v/>
      </c>
    </row>
    <row r="207" spans="1:6" x14ac:dyDescent="0.25">
      <c r="A207" t="s">
        <v>1046</v>
      </c>
      <c r="B207" t="s">
        <v>1047</v>
      </c>
      <c r="C207" t="s">
        <v>1046</v>
      </c>
      <c r="D207" t="s">
        <v>1072</v>
      </c>
      <c r="E207" s="2" t="str">
        <f>IF(AND(A207&lt;&gt;C207,A207&lt;&gt;"",C207&lt;&gt;""),"Conv","")</f>
        <v/>
      </c>
      <c r="F207" s="2" t="str">
        <f>IF(AND(A207&lt;&gt;C207,A207&lt;&gt;"",C207=""),"Ignore","")</f>
        <v/>
      </c>
    </row>
    <row r="208" spans="1:6" x14ac:dyDescent="0.25">
      <c r="A208" t="s">
        <v>1050</v>
      </c>
      <c r="B208" t="s">
        <v>1051</v>
      </c>
      <c r="C208" t="s">
        <v>1050</v>
      </c>
      <c r="D208" t="s">
        <v>1075</v>
      </c>
      <c r="E208" s="2" t="str">
        <f>IF(AND(A208&lt;&gt;C208,A208&lt;&gt;"",C208&lt;&gt;""),"Conv","")</f>
        <v/>
      </c>
      <c r="F208" s="2" t="str">
        <f>IF(AND(A208&lt;&gt;C208,A208&lt;&gt;"",C208=""),"Ignore","")</f>
        <v/>
      </c>
    </row>
    <row r="209" spans="1:6" x14ac:dyDescent="0.25">
      <c r="A209" t="s">
        <v>1054</v>
      </c>
      <c r="B209" t="s">
        <v>1055</v>
      </c>
      <c r="C209" t="s">
        <v>1054</v>
      </c>
      <c r="D209" t="s">
        <v>1077</v>
      </c>
      <c r="E209" s="2" t="str">
        <f>IF(AND(A209&lt;&gt;C209,A209&lt;&gt;"",C209&lt;&gt;""),"Conv","")</f>
        <v/>
      </c>
      <c r="F209" s="2" t="str">
        <f>IF(AND(A209&lt;&gt;C209,A209&lt;&gt;"",C209=""),"Ignore","")</f>
        <v/>
      </c>
    </row>
    <row r="210" spans="1:6" x14ac:dyDescent="0.25">
      <c r="A210" t="s">
        <v>1058</v>
      </c>
      <c r="B210" t="s">
        <v>1059</v>
      </c>
      <c r="C210" t="s">
        <v>1058</v>
      </c>
      <c r="D210" t="s">
        <v>1080</v>
      </c>
      <c r="E210" s="2" t="str">
        <f>IF(AND(A210&lt;&gt;C210,A210&lt;&gt;"",C210&lt;&gt;""),"Conv","")</f>
        <v/>
      </c>
      <c r="F210" s="2" t="str">
        <f>IF(AND(A210&lt;&gt;C210,A210&lt;&gt;"",C210=""),"Ignore","")</f>
        <v/>
      </c>
    </row>
    <row r="211" spans="1:6" x14ac:dyDescent="0.25">
      <c r="A211" t="s">
        <v>1062</v>
      </c>
      <c r="B211" t="s">
        <v>1063</v>
      </c>
      <c r="C211" t="s">
        <v>1062</v>
      </c>
      <c r="D211" t="s">
        <v>1083</v>
      </c>
      <c r="E211" s="2" t="str">
        <f>IF(AND(A211&lt;&gt;C211,A211&lt;&gt;"",C211&lt;&gt;""),"Conv","")</f>
        <v/>
      </c>
      <c r="F211" s="2" t="str">
        <f>IF(AND(A211&lt;&gt;C211,A211&lt;&gt;"",C211=""),"Ignore","")</f>
        <v/>
      </c>
    </row>
    <row r="212" spans="1:6" x14ac:dyDescent="0.25">
      <c r="A212" t="s">
        <v>1066</v>
      </c>
      <c r="B212" t="s">
        <v>1067</v>
      </c>
      <c r="C212" t="s">
        <v>1066</v>
      </c>
      <c r="D212" t="s">
        <v>1086</v>
      </c>
      <c r="E212" s="2" t="str">
        <f>IF(AND(A212&lt;&gt;C212,A212&lt;&gt;"",C212&lt;&gt;""),"Conv","")</f>
        <v/>
      </c>
      <c r="F212" s="2" t="str">
        <f>IF(AND(A212&lt;&gt;C212,A212&lt;&gt;"",C212=""),"Ignore","")</f>
        <v/>
      </c>
    </row>
    <row r="213" spans="1:6" x14ac:dyDescent="0.25">
      <c r="A213" t="s">
        <v>1070</v>
      </c>
      <c r="B213" t="s">
        <v>1071</v>
      </c>
      <c r="C213" t="s">
        <v>1070</v>
      </c>
      <c r="D213" t="s">
        <v>1088</v>
      </c>
      <c r="E213" s="2" t="str">
        <f>IF(AND(A213&lt;&gt;C213,A213&lt;&gt;"",C213&lt;&gt;""),"Conv","")</f>
        <v/>
      </c>
      <c r="F213" s="2" t="str">
        <f>IF(AND(A213&lt;&gt;C213,A213&lt;&gt;"",C213=""),"Ignore","")</f>
        <v/>
      </c>
    </row>
    <row r="214" spans="1:6" x14ac:dyDescent="0.25">
      <c r="A214" t="s">
        <v>1073</v>
      </c>
      <c r="B214" t="s">
        <v>1074</v>
      </c>
      <c r="C214" t="s">
        <v>1073</v>
      </c>
      <c r="D214" t="s">
        <v>1091</v>
      </c>
      <c r="E214" s="2" t="str">
        <f>IF(AND(A214&lt;&gt;C214,A214&lt;&gt;"",C214&lt;&gt;""),"Conv","")</f>
        <v/>
      </c>
      <c r="F214" s="2" t="str">
        <f>IF(AND(A214&lt;&gt;C214,A214&lt;&gt;"",C214=""),"Ignore","")</f>
        <v/>
      </c>
    </row>
    <row r="215" spans="1:6" x14ac:dyDescent="0.25">
      <c r="A215" t="s">
        <v>1076</v>
      </c>
      <c r="B215" t="s">
        <v>1018</v>
      </c>
      <c r="C215" t="s">
        <v>1076</v>
      </c>
      <c r="D215" t="s">
        <v>535</v>
      </c>
      <c r="E215" s="2" t="str">
        <f>IF(AND(A215&lt;&gt;C215,A215&lt;&gt;"",C215&lt;&gt;""),"Conv","")</f>
        <v/>
      </c>
      <c r="F215" s="2" t="str">
        <f>IF(AND(A215&lt;&gt;C215,A215&lt;&gt;"",C215=""),"Ignore","")</f>
        <v/>
      </c>
    </row>
    <row r="216" spans="1:6" x14ac:dyDescent="0.25">
      <c r="A216" t="s">
        <v>1078</v>
      </c>
      <c r="B216" t="s">
        <v>1079</v>
      </c>
      <c r="C216" t="s">
        <v>1078</v>
      </c>
      <c r="D216" t="s">
        <v>1094</v>
      </c>
      <c r="E216" s="2" t="str">
        <f>IF(AND(A216&lt;&gt;C216,A216&lt;&gt;"",C216&lt;&gt;""),"Conv","")</f>
        <v/>
      </c>
      <c r="F216" s="2" t="str">
        <f>IF(AND(A216&lt;&gt;C216,A216&lt;&gt;"",C216=""),"Ignore","")</f>
        <v/>
      </c>
    </row>
    <row r="217" spans="1:6" x14ac:dyDescent="0.25">
      <c r="A217" t="s">
        <v>1081</v>
      </c>
      <c r="B217" t="s">
        <v>1082</v>
      </c>
      <c r="C217" t="s">
        <v>1081</v>
      </c>
      <c r="D217" t="s">
        <v>1095</v>
      </c>
      <c r="E217" s="2" t="str">
        <f>IF(AND(A217&lt;&gt;C217,A217&lt;&gt;"",C217&lt;&gt;""),"Conv","")</f>
        <v/>
      </c>
      <c r="F217" s="2" t="str">
        <f>IF(AND(A217&lt;&gt;C217,A217&lt;&gt;"",C217=""),"Ignore","")</f>
        <v/>
      </c>
    </row>
    <row r="218" spans="1:6" x14ac:dyDescent="0.25">
      <c r="C218" t="s">
        <v>1096</v>
      </c>
      <c r="D218" t="s">
        <v>1129</v>
      </c>
      <c r="E218" s="2" t="str">
        <f>IF(AND(A218&lt;&gt;C218,A218&lt;&gt;"",C218&lt;&gt;""),"Conv","")</f>
        <v/>
      </c>
      <c r="F218" s="2" t="str">
        <f>IF(AND(A218&lt;&gt;C218,A218&lt;&gt;"",C218=""),"Ignore","")</f>
        <v/>
      </c>
    </row>
    <row r="219" spans="1:6" x14ac:dyDescent="0.25">
      <c r="A219" t="s">
        <v>999</v>
      </c>
      <c r="B219" t="s">
        <v>1000</v>
      </c>
      <c r="C219" t="s">
        <v>1097</v>
      </c>
      <c r="D219" t="s">
        <v>1098</v>
      </c>
      <c r="E219" s="2" t="str">
        <f>IF(AND(A219&lt;&gt;C219,A219&lt;&gt;"",C219&lt;&gt;""),"Conv","")</f>
        <v>Conv</v>
      </c>
      <c r="F219" s="2" t="str">
        <f>IF(AND(A219&lt;&gt;C219,A219&lt;&gt;"",C219=""),"Ignore","")</f>
        <v/>
      </c>
    </row>
    <row r="220" spans="1:6" x14ac:dyDescent="0.25">
      <c r="A220" t="s">
        <v>991</v>
      </c>
      <c r="B220" t="s">
        <v>992</v>
      </c>
      <c r="C220" t="s">
        <v>1099</v>
      </c>
      <c r="D220" t="s">
        <v>1100</v>
      </c>
      <c r="E220" s="2" t="str">
        <f>IF(AND(A220&lt;&gt;C220,A220&lt;&gt;"",C220&lt;&gt;""),"Conv","")</f>
        <v>Conv</v>
      </c>
      <c r="F220" s="2" t="str">
        <f>IF(AND(A220&lt;&gt;C220,A220&lt;&gt;"",C220=""),"Ignore","")</f>
        <v/>
      </c>
    </row>
    <row r="221" spans="1:6" x14ac:dyDescent="0.25">
      <c r="A221" t="s">
        <v>1008</v>
      </c>
      <c r="B221" t="s">
        <v>1009</v>
      </c>
      <c r="C221" t="s">
        <v>1101</v>
      </c>
      <c r="D221" t="s">
        <v>1102</v>
      </c>
      <c r="E221" s="2" t="str">
        <f>IF(AND(A221&lt;&gt;C221,A221&lt;&gt;"",C221&lt;&gt;""),"Conv","")</f>
        <v>Conv</v>
      </c>
      <c r="F221" s="2" t="str">
        <f>IF(AND(A221&lt;&gt;C221,A221&lt;&gt;"",C221=""),"Ignore","")</f>
        <v/>
      </c>
    </row>
    <row r="222" spans="1:6" x14ac:dyDescent="0.25">
      <c r="A222" t="s">
        <v>1011</v>
      </c>
      <c r="B222" t="s">
        <v>1012</v>
      </c>
      <c r="C222" t="s">
        <v>1103</v>
      </c>
      <c r="D222" t="s">
        <v>1104</v>
      </c>
      <c r="E222" s="2" t="str">
        <f>IF(AND(A222&lt;&gt;C222,A222&lt;&gt;"",C222&lt;&gt;""),"Conv","")</f>
        <v>Conv</v>
      </c>
      <c r="F222" s="2" t="str">
        <f>IF(AND(A222&lt;&gt;C222,A222&lt;&gt;"",C222=""),"Ignore","")</f>
        <v/>
      </c>
    </row>
    <row r="223" spans="1:6" x14ac:dyDescent="0.25">
      <c r="A223" t="s">
        <v>1005</v>
      </c>
      <c r="B223" t="s">
        <v>1006</v>
      </c>
      <c r="C223" t="s">
        <v>1105</v>
      </c>
      <c r="D223" t="s">
        <v>1106</v>
      </c>
      <c r="E223" s="2" t="str">
        <f>IF(AND(A223&lt;&gt;C223,A223&lt;&gt;"",C223&lt;&gt;""),"Conv","")</f>
        <v>Conv</v>
      </c>
      <c r="F223" s="2" t="str">
        <f>IF(AND(A223&lt;&gt;C223,A223&lt;&gt;"",C223=""),"Ignore","")</f>
        <v/>
      </c>
    </row>
    <row r="224" spans="1:6" x14ac:dyDescent="0.25">
      <c r="A224" t="s">
        <v>997</v>
      </c>
      <c r="B224" t="s">
        <v>998</v>
      </c>
      <c r="C224" t="s">
        <v>1107</v>
      </c>
      <c r="D224" t="s">
        <v>1108</v>
      </c>
      <c r="E224" s="2" t="str">
        <f>IF(AND(A224&lt;&gt;C224,A224&lt;&gt;"",C224&lt;&gt;""),"Conv","")</f>
        <v>Conv</v>
      </c>
      <c r="F224" s="2" t="str">
        <f>IF(AND(A224&lt;&gt;C224,A224&lt;&gt;"",C224=""),"Ignore","")</f>
        <v/>
      </c>
    </row>
    <row r="225" spans="1:6" x14ac:dyDescent="0.25">
      <c r="A225" t="s">
        <v>1014</v>
      </c>
      <c r="B225" t="s">
        <v>1015</v>
      </c>
      <c r="C225" t="s">
        <v>1109</v>
      </c>
      <c r="D225" t="s">
        <v>1110</v>
      </c>
      <c r="E225" s="2" t="str">
        <f>IF(AND(A225&lt;&gt;C225,A225&lt;&gt;"",C225&lt;&gt;""),"Conv","")</f>
        <v>Conv</v>
      </c>
      <c r="F225" s="2" t="str">
        <f>IF(AND(A225&lt;&gt;C225,A225&lt;&gt;"",C225=""),"Ignore","")</f>
        <v/>
      </c>
    </row>
    <row r="226" spans="1:6" x14ac:dyDescent="0.25">
      <c r="A226" t="s">
        <v>1002</v>
      </c>
      <c r="B226" t="s">
        <v>1003</v>
      </c>
      <c r="C226" t="s">
        <v>1111</v>
      </c>
      <c r="D226" t="s">
        <v>1112</v>
      </c>
      <c r="E226" s="2" t="str">
        <f>IF(AND(A226&lt;&gt;C226,A226&lt;&gt;"",C226&lt;&gt;""),"Conv","")</f>
        <v>Conv</v>
      </c>
      <c r="F226" s="2" t="str">
        <f>IF(AND(A226&lt;&gt;C226,A226&lt;&gt;"",C226=""),"Ignore","")</f>
        <v/>
      </c>
    </row>
    <row r="227" spans="1:6" x14ac:dyDescent="0.25">
      <c r="A227" t="s">
        <v>1037</v>
      </c>
      <c r="B227" t="s">
        <v>1038</v>
      </c>
      <c r="C227" t="s">
        <v>1113</v>
      </c>
      <c r="D227" t="s">
        <v>1114</v>
      </c>
      <c r="E227" s="2" t="str">
        <f>IF(AND(A227&lt;&gt;C227,A227&lt;&gt;"",C227&lt;&gt;""),"Conv","")</f>
        <v>Conv</v>
      </c>
      <c r="F227" s="2" t="str">
        <f>IF(AND(A227&lt;&gt;C227,A227&lt;&gt;"",C227=""),"Ignore","")</f>
        <v/>
      </c>
    </row>
    <row r="228" spans="1:6" x14ac:dyDescent="0.25">
      <c r="A228" t="s">
        <v>1043</v>
      </c>
      <c r="B228" t="s">
        <v>1044</v>
      </c>
      <c r="C228" t="s">
        <v>1115</v>
      </c>
      <c r="D228" t="s">
        <v>1116</v>
      </c>
      <c r="E228" s="2" t="str">
        <f>IF(AND(A228&lt;&gt;C228,A228&lt;&gt;"",C228&lt;&gt;""),"Conv","")</f>
        <v>Conv</v>
      </c>
      <c r="F228" s="2" t="str">
        <f>IF(AND(A228&lt;&gt;C228,A228&lt;&gt;"",C228=""),"Ignore","")</f>
        <v/>
      </c>
    </row>
    <row r="229" spans="1:6" x14ac:dyDescent="0.25">
      <c r="A229" t="s">
        <v>1084</v>
      </c>
      <c r="B229" t="s">
        <v>1085</v>
      </c>
      <c r="C229" t="s">
        <v>1084</v>
      </c>
      <c r="D229" t="s">
        <v>1117</v>
      </c>
      <c r="E229" s="2" t="str">
        <f>IF(AND(A229&lt;&gt;C229,A229&lt;&gt;"",C229&lt;&gt;""),"Conv","")</f>
        <v/>
      </c>
      <c r="F229" s="2" t="str">
        <f>IF(AND(A229&lt;&gt;C229,A229&lt;&gt;"",C229=""),"Ignore","")</f>
        <v/>
      </c>
    </row>
    <row r="230" spans="1:6" x14ac:dyDescent="0.25">
      <c r="A230" t="s">
        <v>1087</v>
      </c>
      <c r="B230" t="s">
        <v>484</v>
      </c>
      <c r="C230" t="s">
        <v>1087</v>
      </c>
      <c r="D230" t="s">
        <v>1118</v>
      </c>
      <c r="E230" s="2" t="str">
        <f>IF(AND(A230&lt;&gt;C230,A230&lt;&gt;"",C230&lt;&gt;""),"Conv","")</f>
        <v/>
      </c>
      <c r="F230" s="2" t="str">
        <f>IF(AND(A230&lt;&gt;C230,A230&lt;&gt;"",C230=""),"Ignore","")</f>
        <v/>
      </c>
    </row>
    <row r="231" spans="1:6" x14ac:dyDescent="0.25">
      <c r="A231" t="s">
        <v>1089</v>
      </c>
      <c r="B231" t="s">
        <v>1090</v>
      </c>
      <c r="C231" t="s">
        <v>1089</v>
      </c>
      <c r="D231" t="s">
        <v>1119</v>
      </c>
      <c r="E231" s="2" t="str">
        <f>IF(AND(A231&lt;&gt;C231,A231&lt;&gt;"",C231&lt;&gt;""),"Conv","")</f>
        <v/>
      </c>
      <c r="F231" s="2" t="str">
        <f>IF(AND(A231&lt;&gt;C231,A231&lt;&gt;"",C231=""),"Ignore","")</f>
        <v/>
      </c>
    </row>
    <row r="232" spans="1:6" x14ac:dyDescent="0.25">
      <c r="A232" t="s">
        <v>1092</v>
      </c>
      <c r="B232" t="s">
        <v>1093</v>
      </c>
      <c r="C232" t="s">
        <v>1092</v>
      </c>
      <c r="D232" t="s">
        <v>1120</v>
      </c>
      <c r="E232" s="2" t="str">
        <f>IF(AND(A232&lt;&gt;C232,A232&lt;&gt;"",C232&lt;&gt;""),"Conv","")</f>
        <v/>
      </c>
      <c r="F232" s="2" t="str">
        <f>IF(AND(A232&lt;&gt;C232,A232&lt;&gt;"",C232=""),"Ignore","")</f>
        <v/>
      </c>
    </row>
    <row r="233" spans="1:6" x14ac:dyDescent="0.25">
      <c r="C233" t="s">
        <v>1121</v>
      </c>
      <c r="D233" t="s">
        <v>1122</v>
      </c>
      <c r="E233" s="2" t="str">
        <f>IF(AND(A233&lt;&gt;C233,A233&lt;&gt;"",C233&lt;&gt;""),"Conv","")</f>
        <v/>
      </c>
      <c r="F233" s="2" t="str">
        <f>IF(AND(A233&lt;&gt;C233,A233&lt;&gt;"",C233=""),"Ignore","")</f>
        <v/>
      </c>
    </row>
    <row r="234" spans="1:6" x14ac:dyDescent="0.25">
      <c r="C234" t="s">
        <v>1123</v>
      </c>
      <c r="D234" t="s">
        <v>1124</v>
      </c>
      <c r="E234" s="2" t="str">
        <f>IF(AND(A234&lt;&gt;C234,A234&lt;&gt;"",C234&lt;&gt;""),"Conv","")</f>
        <v/>
      </c>
      <c r="F234" s="2" t="str">
        <f>IF(AND(A234&lt;&gt;C234,A234&lt;&gt;"",C234=""),"Ignore","")</f>
        <v/>
      </c>
    </row>
    <row r="235" spans="1:6" x14ac:dyDescent="0.25">
      <c r="A235" t="s">
        <v>685</v>
      </c>
      <c r="B235" t="s">
        <v>686</v>
      </c>
      <c r="E235" s="2" t="str">
        <f>IF(AND(A235&lt;&gt;C235,A235&lt;&gt;"",C235&lt;&gt;""),"Conv","")</f>
        <v/>
      </c>
      <c r="F235" s="2" t="str">
        <f>IF(AND(A235&lt;&gt;C235,A235&lt;&gt;"",C235=""),"Ignore","")</f>
        <v>Ignore</v>
      </c>
    </row>
    <row r="236" spans="1:6" x14ac:dyDescent="0.25">
      <c r="A236" t="s">
        <v>719</v>
      </c>
      <c r="B236" t="s">
        <v>720</v>
      </c>
      <c r="E236" s="2" t="str">
        <f>IF(AND(A236&lt;&gt;C236,A236&lt;&gt;"",C236&lt;&gt;""),"Conv","")</f>
        <v/>
      </c>
      <c r="F236" s="2" t="str">
        <f>IF(AND(A236&lt;&gt;C236,A236&lt;&gt;"",C236=""),"Ignore","")</f>
        <v>Ignore</v>
      </c>
    </row>
    <row r="237" spans="1:6" x14ac:dyDescent="0.25">
      <c r="A237" t="s">
        <v>725</v>
      </c>
      <c r="B237" t="s">
        <v>726</v>
      </c>
      <c r="E237" s="2" t="str">
        <f>IF(AND(A237&lt;&gt;C237,A237&lt;&gt;"",C237&lt;&gt;""),"Conv","")</f>
        <v/>
      </c>
      <c r="F237" s="2" t="str">
        <f>IF(AND(A237&lt;&gt;C237,A237&lt;&gt;"",C237=""),"Ignore","")</f>
        <v>Ignore</v>
      </c>
    </row>
    <row r="238" spans="1:6" x14ac:dyDescent="0.25">
      <c r="A238" t="s">
        <v>734</v>
      </c>
      <c r="B238" t="s">
        <v>735</v>
      </c>
      <c r="E238" s="2" t="str">
        <f>IF(AND(A238&lt;&gt;C238,A238&lt;&gt;"",C238&lt;&gt;""),"Conv","")</f>
        <v/>
      </c>
      <c r="F238" s="2" t="str">
        <f>IF(AND(A238&lt;&gt;C238,A238&lt;&gt;"",C238=""),"Ignore","")</f>
        <v>Ignore</v>
      </c>
    </row>
    <row r="239" spans="1:6" x14ac:dyDescent="0.25">
      <c r="A239" t="s">
        <v>874</v>
      </c>
      <c r="B239" t="s">
        <v>875</v>
      </c>
      <c r="E239" s="2" t="str">
        <f>IF(AND(A239&lt;&gt;C239,A239&lt;&gt;"",C239&lt;&gt;""),"Conv","")</f>
        <v/>
      </c>
      <c r="F239" s="2" t="str">
        <f>IF(AND(A239&lt;&gt;C239,A239&lt;&gt;"",C239=""),"Ignore","")</f>
        <v>Ignore</v>
      </c>
    </row>
    <row r="240" spans="1:6" x14ac:dyDescent="0.25">
      <c r="A240" t="s">
        <v>898</v>
      </c>
      <c r="B240" t="s">
        <v>899</v>
      </c>
      <c r="E240" s="2" t="str">
        <f>IF(AND(A240&lt;&gt;C240,A240&lt;&gt;"",C240&lt;&gt;""),"Conv","")</f>
        <v/>
      </c>
      <c r="F240" s="2" t="str">
        <f>IF(AND(A240&lt;&gt;C240,A240&lt;&gt;"",C240=""),"Ignore","")</f>
        <v>Ignore</v>
      </c>
    </row>
    <row r="241" spans="1:6" x14ac:dyDescent="0.25">
      <c r="A241" t="s">
        <v>953</v>
      </c>
      <c r="B241" t="s">
        <v>954</v>
      </c>
      <c r="E241" s="2" t="str">
        <f>IF(AND(A241&lt;&gt;C241,A241&lt;&gt;"",C241&lt;&gt;""),"Conv","")</f>
        <v/>
      </c>
      <c r="F241" s="2" t="str">
        <f>IF(AND(A241&lt;&gt;C241,A241&lt;&gt;"",C241=""),"Ignore","")</f>
        <v>Ignore</v>
      </c>
    </row>
    <row r="242" spans="1:6" x14ac:dyDescent="0.25">
      <c r="A242" t="s">
        <v>956</v>
      </c>
      <c r="B242" t="s">
        <v>957</v>
      </c>
      <c r="E242" s="2" t="str">
        <f>IF(AND(A242&lt;&gt;C242,A242&lt;&gt;"",C242&lt;&gt;""),"Conv","")</f>
        <v/>
      </c>
      <c r="F242" s="2" t="str">
        <f>IF(AND(A242&lt;&gt;C242,A242&lt;&gt;"",C242=""),"Ignore","")</f>
        <v>Ignore</v>
      </c>
    </row>
    <row r="243" spans="1:6" x14ac:dyDescent="0.25">
      <c r="A243" t="s">
        <v>965</v>
      </c>
      <c r="B243" t="s">
        <v>966</v>
      </c>
      <c r="E243" s="2" t="str">
        <f>IF(AND(A243&lt;&gt;C243,A243&lt;&gt;"",C243&lt;&gt;""),"Conv","")</f>
        <v/>
      </c>
      <c r="F243" s="2" t="str">
        <f>IF(AND(A243&lt;&gt;C243,A243&lt;&gt;"",C243=""),"Ignore","")</f>
        <v>Ignore</v>
      </c>
    </row>
    <row r="244" spans="1:6" x14ac:dyDescent="0.25">
      <c r="A244" t="s">
        <v>983</v>
      </c>
      <c r="B244" t="s">
        <v>984</v>
      </c>
      <c r="E244" s="2" t="str">
        <f>IF(AND(A244&lt;&gt;C244,A244&lt;&gt;"",C244&lt;&gt;""),"Conv","")</f>
        <v/>
      </c>
      <c r="F244" s="2" t="str">
        <f>IF(AND(A244&lt;&gt;C244,A244&lt;&gt;"",C244=""),"Ignore","")</f>
        <v>Ignore</v>
      </c>
    </row>
    <row r="245" spans="1:6" x14ac:dyDescent="0.25">
      <c r="A245" t="s">
        <v>1040</v>
      </c>
      <c r="B245" t="s">
        <v>1041</v>
      </c>
      <c r="E245" s="2" t="str">
        <f>IF(AND(A245&lt;&gt;C245,A245&lt;&gt;"",C245&lt;&gt;""),"Conv","")</f>
        <v/>
      </c>
      <c r="F245" s="2" t="str">
        <f>IF(AND(A245&lt;&gt;C245,A245&lt;&gt;"",C245=""),"Ignore","")</f>
        <v>Ignore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AD8D-78A7-4F97-94C4-75126C3B6529}">
  <dimension ref="A1:N231"/>
  <sheetViews>
    <sheetView workbookViewId="0">
      <selection activeCell="B1" sqref="B1"/>
    </sheetView>
  </sheetViews>
  <sheetFormatPr defaultRowHeight="15" x14ac:dyDescent="0.25"/>
  <sheetData>
    <row r="1" spans="1:14" x14ac:dyDescent="0.25">
      <c r="A1" t="s">
        <v>0</v>
      </c>
      <c r="D1" t="str">
        <f>LEFT(A1,3)</f>
        <v>A01</v>
      </c>
      <c r="E1" t="str">
        <f>MID(A1,5,20)</f>
        <v>Beyneuskiy</v>
      </c>
      <c r="J1" t="s">
        <v>212</v>
      </c>
      <c r="M1" t="str">
        <f>LEFT(J1,3)</f>
        <v>A01</v>
      </c>
      <c r="N1" t="str">
        <f>MID(J1,5,20)</f>
        <v>Beineu District</v>
      </c>
    </row>
    <row r="2" spans="1:14" x14ac:dyDescent="0.25">
      <c r="A2" t="s">
        <v>1</v>
      </c>
      <c r="D2" t="str">
        <f t="shared" ref="D2:D65" si="0">LEFT(A2,3)</f>
        <v>A02</v>
      </c>
      <c r="E2" t="str">
        <f t="shared" ref="E2:E65" si="1">MID(A2,5,20)</f>
        <v>Tupkaraganskiy</v>
      </c>
      <c r="J2" t="s">
        <v>213</v>
      </c>
      <c r="M2" t="str">
        <f t="shared" ref="M2:M65" si="2">LEFT(J2,3)</f>
        <v>A02</v>
      </c>
      <c r="N2" t="str">
        <f t="shared" ref="N2:N65" si="3">MID(J2,5,20)</f>
        <v>Tupkaragan District</v>
      </c>
    </row>
    <row r="3" spans="1:14" x14ac:dyDescent="0.25">
      <c r="A3" t="s">
        <v>2</v>
      </c>
      <c r="D3" t="str">
        <f t="shared" si="0"/>
        <v>A03</v>
      </c>
      <c r="E3" t="str">
        <f t="shared" si="1"/>
        <v>Mangistauskiy</v>
      </c>
      <c r="J3" t="s">
        <v>214</v>
      </c>
      <c r="M3" t="str">
        <f t="shared" si="2"/>
        <v>A03</v>
      </c>
      <c r="N3" t="str">
        <f t="shared" si="3"/>
        <v>Mangystau District</v>
      </c>
    </row>
    <row r="4" spans="1:14" x14ac:dyDescent="0.25">
      <c r="A4" t="s">
        <v>3</v>
      </c>
      <c r="D4" t="str">
        <f t="shared" si="0"/>
        <v>A04</v>
      </c>
      <c r="E4" t="str">
        <f t="shared" si="1"/>
        <v>Karakiyanskiy</v>
      </c>
      <c r="J4" t="s">
        <v>215</v>
      </c>
      <c r="M4" t="str">
        <f t="shared" si="2"/>
        <v>A04</v>
      </c>
      <c r="N4" t="str">
        <f t="shared" si="3"/>
        <v>Karakiya District</v>
      </c>
    </row>
    <row r="5" spans="1:14" x14ac:dyDescent="0.25">
      <c r="A5" t="s">
        <v>4</v>
      </c>
      <c r="D5" t="str">
        <f t="shared" si="0"/>
        <v>A05</v>
      </c>
      <c r="E5" t="str">
        <f t="shared" si="1"/>
        <v>Aktau city</v>
      </c>
      <c r="J5" t="s">
        <v>216</v>
      </c>
      <c r="M5" t="str">
        <f t="shared" si="2"/>
        <v>A05</v>
      </c>
      <c r="N5" t="str">
        <f t="shared" si="3"/>
        <v>Aktau City Administr</v>
      </c>
    </row>
    <row r="6" spans="1:14" x14ac:dyDescent="0.25">
      <c r="A6" t="s">
        <v>5</v>
      </c>
      <c r="D6" t="str">
        <f t="shared" si="0"/>
        <v>A06</v>
      </c>
      <c r="E6" t="str">
        <f t="shared" si="1"/>
        <v>Zhanaozen town</v>
      </c>
      <c r="J6" t="s">
        <v>217</v>
      </c>
      <c r="M6" t="str">
        <f t="shared" si="2"/>
        <v>A06</v>
      </c>
      <c r="N6" t="str">
        <f t="shared" si="3"/>
        <v>Zhanaozen City Admin</v>
      </c>
    </row>
    <row r="7" spans="1:14" x14ac:dyDescent="0.25">
      <c r="A7" t="s">
        <v>6</v>
      </c>
      <c r="D7" t="str">
        <f t="shared" si="0"/>
        <v>B01</v>
      </c>
      <c r="E7" t="str">
        <f t="shared" si="1"/>
        <v>Zerendinskiy</v>
      </c>
      <c r="J7" t="s">
        <v>218</v>
      </c>
      <c r="M7" t="str">
        <f t="shared" si="2"/>
        <v>A07</v>
      </c>
      <c r="N7" t="str">
        <f t="shared" si="3"/>
        <v>Munaily District</v>
      </c>
    </row>
    <row r="8" spans="1:14" x14ac:dyDescent="0.25">
      <c r="A8" t="s">
        <v>7</v>
      </c>
      <c r="D8" t="str">
        <f t="shared" si="0"/>
        <v>B02</v>
      </c>
      <c r="E8" t="str">
        <f t="shared" si="1"/>
        <v>Burabaiskiy</v>
      </c>
      <c r="J8" t="s">
        <v>219</v>
      </c>
      <c r="M8" t="str">
        <f t="shared" si="2"/>
        <v>B01</v>
      </c>
      <c r="N8" t="str">
        <f t="shared" si="3"/>
        <v>Zerendi District</v>
      </c>
    </row>
    <row r="9" spans="1:14" x14ac:dyDescent="0.25">
      <c r="A9" t="s">
        <v>8</v>
      </c>
      <c r="D9" t="str">
        <f t="shared" si="0"/>
        <v>B03</v>
      </c>
      <c r="E9" t="str">
        <f t="shared" si="1"/>
        <v>Enbekshil'derskiy</v>
      </c>
      <c r="J9" t="s">
        <v>220</v>
      </c>
      <c r="M9" t="str">
        <f t="shared" si="2"/>
        <v>B02</v>
      </c>
      <c r="N9" t="str">
        <f t="shared" si="3"/>
        <v>Burabai District</v>
      </c>
    </row>
    <row r="10" spans="1:14" x14ac:dyDescent="0.25">
      <c r="A10" t="s">
        <v>9</v>
      </c>
      <c r="D10" t="str">
        <f t="shared" si="0"/>
        <v>B04</v>
      </c>
      <c r="E10" t="str">
        <f t="shared" si="1"/>
        <v>Sandyktauskiy</v>
      </c>
      <c r="J10" t="s">
        <v>221</v>
      </c>
      <c r="M10" t="str">
        <f t="shared" si="2"/>
        <v>B03</v>
      </c>
      <c r="N10" t="str">
        <f t="shared" si="3"/>
        <v>Birzhan Sal District</v>
      </c>
    </row>
    <row r="11" spans="1:14" x14ac:dyDescent="0.25">
      <c r="A11" t="s">
        <v>10</v>
      </c>
      <c r="D11" t="str">
        <f t="shared" si="0"/>
        <v>B05</v>
      </c>
      <c r="E11" t="str">
        <f t="shared" si="1"/>
        <v>Bulandynskiy</v>
      </c>
      <c r="J11" t="s">
        <v>222</v>
      </c>
      <c r="M11" t="str">
        <f t="shared" si="2"/>
        <v>B04</v>
      </c>
      <c r="N11" t="str">
        <f t="shared" si="3"/>
        <v>Sandyktau District</v>
      </c>
    </row>
    <row r="12" spans="1:14" x14ac:dyDescent="0.25">
      <c r="A12" t="s">
        <v>11</v>
      </c>
      <c r="D12" t="str">
        <f t="shared" si="0"/>
        <v>B06</v>
      </c>
      <c r="E12" t="str">
        <f t="shared" si="1"/>
        <v>Akkol'skiy</v>
      </c>
      <c r="J12" t="s">
        <v>223</v>
      </c>
      <c r="M12" t="str">
        <f t="shared" si="2"/>
        <v>B05</v>
      </c>
      <c r="N12" t="str">
        <f t="shared" si="3"/>
        <v>Bulandy District</v>
      </c>
    </row>
    <row r="13" spans="1:14" x14ac:dyDescent="0.25">
      <c r="A13" t="s">
        <v>12</v>
      </c>
      <c r="D13" t="str">
        <f t="shared" si="0"/>
        <v>B07</v>
      </c>
      <c r="E13" t="str">
        <f t="shared" si="1"/>
        <v>Ereymentauskiy</v>
      </c>
      <c r="J13" t="s">
        <v>224</v>
      </c>
      <c r="M13" t="str">
        <f t="shared" si="2"/>
        <v>B06</v>
      </c>
      <c r="N13" t="str">
        <f t="shared" si="3"/>
        <v>Akkol District</v>
      </c>
    </row>
    <row r="14" spans="1:14" x14ac:dyDescent="0.25">
      <c r="A14" t="s">
        <v>13</v>
      </c>
      <c r="D14" t="str">
        <f t="shared" si="0"/>
        <v>B08</v>
      </c>
      <c r="E14" t="str">
        <f t="shared" si="1"/>
        <v>Esil'skiy</v>
      </c>
      <c r="J14" t="s">
        <v>225</v>
      </c>
      <c r="M14" t="str">
        <f t="shared" si="2"/>
        <v>B07</v>
      </c>
      <c r="N14" t="str">
        <f t="shared" si="3"/>
        <v>Ereymentau District</v>
      </c>
    </row>
    <row r="15" spans="1:14" x14ac:dyDescent="0.25">
      <c r="A15" t="s">
        <v>14</v>
      </c>
      <c r="D15" t="str">
        <f t="shared" si="0"/>
        <v>B09</v>
      </c>
      <c r="E15" t="str">
        <f t="shared" si="1"/>
        <v>Zhaksynskiy</v>
      </c>
      <c r="J15" t="s">
        <v>226</v>
      </c>
      <c r="M15" t="str">
        <f t="shared" si="2"/>
        <v>B08</v>
      </c>
      <c r="N15" t="str">
        <f t="shared" si="3"/>
        <v>Esil District</v>
      </c>
    </row>
    <row r="16" spans="1:14" x14ac:dyDescent="0.25">
      <c r="A16" t="s">
        <v>15</v>
      </c>
      <c r="D16" t="str">
        <f t="shared" si="0"/>
        <v>B10</v>
      </c>
      <c r="E16" t="str">
        <f t="shared" si="1"/>
        <v>Atbasarskiy</v>
      </c>
      <c r="J16" t="s">
        <v>227</v>
      </c>
      <c r="M16" t="str">
        <f t="shared" si="2"/>
        <v>B09</v>
      </c>
      <c r="N16" t="str">
        <f t="shared" si="3"/>
        <v>Zhaksy District</v>
      </c>
    </row>
    <row r="17" spans="1:14" x14ac:dyDescent="0.25">
      <c r="A17" t="s">
        <v>16</v>
      </c>
      <c r="D17" t="str">
        <f t="shared" si="0"/>
        <v>B11</v>
      </c>
      <c r="E17" t="str">
        <f t="shared" si="1"/>
        <v>Astrakhanskiy</v>
      </c>
      <c r="J17" t="s">
        <v>228</v>
      </c>
      <c r="M17" t="str">
        <f t="shared" si="2"/>
        <v>B10</v>
      </c>
      <c r="N17" t="str">
        <f t="shared" si="3"/>
        <v>Atbasar District</v>
      </c>
    </row>
    <row r="18" spans="1:14" x14ac:dyDescent="0.25">
      <c r="A18" t="s">
        <v>17</v>
      </c>
      <c r="D18" t="str">
        <f t="shared" si="0"/>
        <v>B12</v>
      </c>
      <c r="E18" t="str">
        <f t="shared" si="1"/>
        <v>Shortandinskiy</v>
      </c>
      <c r="J18" t="s">
        <v>229</v>
      </c>
      <c r="M18" t="str">
        <f t="shared" si="2"/>
        <v>B11</v>
      </c>
      <c r="N18" t="str">
        <f t="shared" si="3"/>
        <v>Astrakhan District</v>
      </c>
    </row>
    <row r="19" spans="1:14" x14ac:dyDescent="0.25">
      <c r="A19" t="s">
        <v>18</v>
      </c>
      <c r="D19" t="str">
        <f t="shared" si="0"/>
        <v>B13</v>
      </c>
      <c r="E19" t="str">
        <f t="shared" si="1"/>
        <v>Zharkainskiy</v>
      </c>
      <c r="J19" t="s">
        <v>230</v>
      </c>
      <c r="M19" t="str">
        <f t="shared" si="2"/>
        <v>B12</v>
      </c>
      <c r="N19" t="str">
        <f t="shared" si="3"/>
        <v>Shortandy District</v>
      </c>
    </row>
    <row r="20" spans="1:14" x14ac:dyDescent="0.25">
      <c r="A20" t="s">
        <v>19</v>
      </c>
      <c r="D20" t="str">
        <f t="shared" si="0"/>
        <v>B14</v>
      </c>
      <c r="E20" t="str">
        <f t="shared" si="1"/>
        <v>Egindykol'skiy</v>
      </c>
      <c r="J20" t="s">
        <v>231</v>
      </c>
      <c r="M20" t="str">
        <f t="shared" si="2"/>
        <v>B13</v>
      </c>
      <c r="N20" t="str">
        <f t="shared" si="3"/>
        <v>Zharkain District</v>
      </c>
    </row>
    <row r="21" spans="1:14" x14ac:dyDescent="0.25">
      <c r="A21" t="s">
        <v>20</v>
      </c>
      <c r="D21" t="str">
        <f t="shared" si="0"/>
        <v>B15</v>
      </c>
      <c r="E21" t="str">
        <f t="shared" si="1"/>
        <v>Tselinogradskiy</v>
      </c>
      <c r="J21" t="s">
        <v>232</v>
      </c>
      <c r="M21" t="str">
        <f t="shared" si="2"/>
        <v>B14</v>
      </c>
      <c r="N21" t="str">
        <f t="shared" si="3"/>
        <v>Egindykol District</v>
      </c>
    </row>
    <row r="22" spans="1:14" x14ac:dyDescent="0.25">
      <c r="A22" t="s">
        <v>21</v>
      </c>
      <c r="D22" t="str">
        <f t="shared" si="0"/>
        <v>B16</v>
      </c>
      <c r="E22" t="str">
        <f t="shared" si="1"/>
        <v>Arshalynskiy</v>
      </c>
      <c r="J22" t="s">
        <v>233</v>
      </c>
      <c r="M22" t="str">
        <f t="shared" si="2"/>
        <v>B15</v>
      </c>
      <c r="N22" t="str">
        <f t="shared" si="3"/>
        <v>Tselinograd District</v>
      </c>
    </row>
    <row r="23" spans="1:14" x14ac:dyDescent="0.25">
      <c r="A23" t="s">
        <v>22</v>
      </c>
      <c r="D23" t="str">
        <f t="shared" si="0"/>
        <v>B17</v>
      </c>
      <c r="E23" t="str">
        <f t="shared" si="1"/>
        <v>Korgalzhynskiy</v>
      </c>
      <c r="J23" t="s">
        <v>234</v>
      </c>
      <c r="M23" t="str">
        <f t="shared" si="2"/>
        <v>B16</v>
      </c>
      <c r="N23" t="str">
        <f t="shared" si="3"/>
        <v>Arshaly District</v>
      </c>
    </row>
    <row r="24" spans="1:14" x14ac:dyDescent="0.25">
      <c r="A24" t="s">
        <v>23</v>
      </c>
      <c r="D24" t="str">
        <f t="shared" si="0"/>
        <v>B18</v>
      </c>
      <c r="E24" t="str">
        <f t="shared" si="1"/>
        <v>Kokshetau city</v>
      </c>
      <c r="J24" t="s">
        <v>235</v>
      </c>
      <c r="M24" t="str">
        <f t="shared" si="2"/>
        <v>B17</v>
      </c>
      <c r="N24" t="str">
        <f t="shared" si="3"/>
        <v>Korgalzhyn District</v>
      </c>
    </row>
    <row r="25" spans="1:14" x14ac:dyDescent="0.25">
      <c r="A25" t="s">
        <v>24</v>
      </c>
      <c r="D25" t="str">
        <f t="shared" si="0"/>
        <v>B19</v>
      </c>
      <c r="E25" t="str">
        <f t="shared" si="1"/>
        <v>Stepnogorsk town</v>
      </c>
      <c r="J25" t="s">
        <v>236</v>
      </c>
      <c r="M25" t="str">
        <f t="shared" si="2"/>
        <v>B18</v>
      </c>
      <c r="N25" t="str">
        <f t="shared" si="3"/>
        <v>Kokshetau City Admin</v>
      </c>
    </row>
    <row r="26" spans="1:14" x14ac:dyDescent="0.25">
      <c r="A26" t="s">
        <v>25</v>
      </c>
      <c r="D26" t="str">
        <f t="shared" si="0"/>
        <v>C01</v>
      </c>
      <c r="E26" t="str">
        <f t="shared" si="1"/>
        <v>Mamlyutskiy</v>
      </c>
      <c r="J26" t="s">
        <v>237</v>
      </c>
      <c r="M26" t="str">
        <f t="shared" si="2"/>
        <v>B19</v>
      </c>
      <c r="N26" t="str">
        <f t="shared" si="3"/>
        <v>Stepnogorsk City Adm</v>
      </c>
    </row>
    <row r="27" spans="1:14" x14ac:dyDescent="0.25">
      <c r="A27" t="s">
        <v>26</v>
      </c>
      <c r="D27" t="str">
        <f t="shared" si="0"/>
        <v>C02</v>
      </c>
      <c r="E27" t="str">
        <f t="shared" si="1"/>
        <v>Kyzylzharskiy</v>
      </c>
      <c r="J27" t="s">
        <v>238</v>
      </c>
      <c r="M27" t="str">
        <f t="shared" si="2"/>
        <v>B20</v>
      </c>
      <c r="N27" t="str">
        <f t="shared" si="3"/>
        <v>Kosshy City Administ</v>
      </c>
    </row>
    <row r="28" spans="1:14" x14ac:dyDescent="0.25">
      <c r="A28" t="s">
        <v>27</v>
      </c>
      <c r="D28" t="str">
        <f t="shared" si="0"/>
        <v>C03</v>
      </c>
      <c r="E28" t="str">
        <f t="shared" si="1"/>
        <v>Magzhana Zhumabaeva</v>
      </c>
      <c r="J28" t="s">
        <v>239</v>
      </c>
      <c r="M28" t="str">
        <f t="shared" si="2"/>
        <v>C01</v>
      </c>
      <c r="N28" t="str">
        <f t="shared" si="3"/>
        <v>Mamlyut District</v>
      </c>
    </row>
    <row r="29" spans="1:14" x14ac:dyDescent="0.25">
      <c r="A29" t="s">
        <v>28</v>
      </c>
      <c r="D29" t="str">
        <f t="shared" si="0"/>
        <v>C04</v>
      </c>
      <c r="E29" t="str">
        <f t="shared" si="1"/>
        <v>Zhambylskiy</v>
      </c>
      <c r="J29" t="s">
        <v>240</v>
      </c>
      <c r="M29" t="str">
        <f t="shared" si="2"/>
        <v>C02</v>
      </c>
      <c r="N29" t="str">
        <f t="shared" si="3"/>
        <v>Kyzylzhar District</v>
      </c>
    </row>
    <row r="30" spans="1:14" x14ac:dyDescent="0.25">
      <c r="A30" t="s">
        <v>29</v>
      </c>
      <c r="D30" t="str">
        <f t="shared" si="0"/>
        <v>C05</v>
      </c>
      <c r="E30" t="str">
        <f t="shared" si="1"/>
        <v>Esil'skiy</v>
      </c>
      <c r="J30" t="s">
        <v>241</v>
      </c>
      <c r="M30" t="str">
        <f t="shared" si="2"/>
        <v>C03</v>
      </c>
      <c r="N30" t="str">
        <f t="shared" si="3"/>
        <v>Magzhan Zhumabayev D</v>
      </c>
    </row>
    <row r="31" spans="1:14" x14ac:dyDescent="0.25">
      <c r="A31" t="s">
        <v>30</v>
      </c>
      <c r="D31" t="str">
        <f t="shared" si="0"/>
        <v>C06</v>
      </c>
      <c r="E31" t="str">
        <f t="shared" si="1"/>
        <v>Akkaiynskiy</v>
      </c>
      <c r="J31" t="s">
        <v>242</v>
      </c>
      <c r="M31" t="str">
        <f t="shared" si="2"/>
        <v>C04</v>
      </c>
      <c r="N31" t="str">
        <f t="shared" si="3"/>
        <v>Zhambyl District</v>
      </c>
    </row>
    <row r="32" spans="1:14" x14ac:dyDescent="0.25">
      <c r="A32" t="s">
        <v>31</v>
      </c>
      <c r="D32" t="str">
        <f t="shared" si="0"/>
        <v>C07</v>
      </c>
      <c r="E32" t="str">
        <f t="shared" si="1"/>
        <v>Timiryazevskiy</v>
      </c>
      <c r="J32" t="s">
        <v>243</v>
      </c>
      <c r="M32" t="str">
        <f t="shared" si="2"/>
        <v>C05</v>
      </c>
      <c r="N32" t="str">
        <f t="shared" si="3"/>
        <v>Esil District</v>
      </c>
    </row>
    <row r="33" spans="1:14" x14ac:dyDescent="0.25">
      <c r="A33" t="s">
        <v>32</v>
      </c>
      <c r="D33" t="str">
        <f t="shared" si="0"/>
        <v>C08</v>
      </c>
      <c r="E33" t="str">
        <f t="shared" si="1"/>
        <v>Shalakyna</v>
      </c>
      <c r="J33" t="s">
        <v>244</v>
      </c>
      <c r="M33" t="str">
        <f t="shared" si="2"/>
        <v>C06</v>
      </c>
      <c r="N33" t="str">
        <f t="shared" si="3"/>
        <v>Akkaiyn District</v>
      </c>
    </row>
    <row r="34" spans="1:14" x14ac:dyDescent="0.25">
      <c r="A34" t="s">
        <v>33</v>
      </c>
      <c r="D34" t="str">
        <f t="shared" si="0"/>
        <v>C09</v>
      </c>
      <c r="E34" t="str">
        <f t="shared" si="1"/>
        <v>Tayynshinskiy</v>
      </c>
      <c r="J34" t="s">
        <v>245</v>
      </c>
      <c r="M34" t="str">
        <f t="shared" si="2"/>
        <v>C07</v>
      </c>
      <c r="N34" t="str">
        <f t="shared" si="3"/>
        <v>Timiryazev District</v>
      </c>
    </row>
    <row r="35" spans="1:14" x14ac:dyDescent="0.25">
      <c r="A35" t="s">
        <v>34</v>
      </c>
      <c r="D35" t="str">
        <f t="shared" si="0"/>
        <v>C10</v>
      </c>
      <c r="E35" t="str">
        <f t="shared" si="1"/>
        <v>Akzharskiy</v>
      </c>
      <c r="J35" t="s">
        <v>246</v>
      </c>
      <c r="M35" t="str">
        <f t="shared" si="2"/>
        <v>C08</v>
      </c>
      <c r="N35" t="str">
        <f t="shared" si="3"/>
        <v>Shal Akyn District</v>
      </c>
    </row>
    <row r="36" spans="1:14" x14ac:dyDescent="0.25">
      <c r="A36" t="s">
        <v>35</v>
      </c>
      <c r="D36" t="str">
        <f t="shared" si="0"/>
        <v>C11</v>
      </c>
      <c r="E36" t="str">
        <f t="shared" si="1"/>
        <v>Ualikhanovskiy</v>
      </c>
      <c r="J36" t="s">
        <v>247</v>
      </c>
      <c r="M36" t="str">
        <f t="shared" si="2"/>
        <v>C09</v>
      </c>
      <c r="N36" t="str">
        <f t="shared" si="3"/>
        <v>Taiynsha District</v>
      </c>
    </row>
    <row r="37" spans="1:14" x14ac:dyDescent="0.25">
      <c r="A37" t="s">
        <v>36</v>
      </c>
      <c r="D37" t="str">
        <f t="shared" si="0"/>
        <v>C12</v>
      </c>
      <c r="E37" t="str">
        <f t="shared" si="1"/>
        <v>Gabita Musrepova</v>
      </c>
      <c r="J37" t="s">
        <v>248</v>
      </c>
      <c r="M37" t="str">
        <f t="shared" si="2"/>
        <v>C10</v>
      </c>
      <c r="N37" t="str">
        <f t="shared" si="3"/>
        <v>Akzhar District</v>
      </c>
    </row>
    <row r="38" spans="1:14" x14ac:dyDescent="0.25">
      <c r="A38" t="s">
        <v>37</v>
      </c>
      <c r="D38" t="str">
        <f t="shared" si="0"/>
        <v>C13</v>
      </c>
      <c r="E38" t="str">
        <f t="shared" si="1"/>
        <v>Aiyrtauskiy</v>
      </c>
      <c r="J38" t="s">
        <v>249</v>
      </c>
      <c r="M38" t="str">
        <f t="shared" si="2"/>
        <v>C11</v>
      </c>
      <c r="N38" t="str">
        <f t="shared" si="3"/>
        <v>Ualikhanov District</v>
      </c>
    </row>
    <row r="39" spans="1:14" x14ac:dyDescent="0.25">
      <c r="A39" t="s">
        <v>38</v>
      </c>
      <c r="D39" t="str">
        <f t="shared" si="0"/>
        <v>C14</v>
      </c>
      <c r="E39" t="str">
        <f t="shared" si="1"/>
        <v>Petropavlovsk city</v>
      </c>
      <c r="J39" t="s">
        <v>250</v>
      </c>
      <c r="M39" t="str">
        <f t="shared" si="2"/>
        <v>C12</v>
      </c>
      <c r="N39" t="str">
        <f t="shared" si="3"/>
        <v>Gabit Musrepov Distr</v>
      </c>
    </row>
    <row r="40" spans="1:14" x14ac:dyDescent="0.25">
      <c r="A40" t="s">
        <v>39</v>
      </c>
      <c r="D40" t="str">
        <f t="shared" si="0"/>
        <v>F01</v>
      </c>
      <c r="E40" t="str">
        <f t="shared" si="1"/>
        <v>Zhelezinskiy</v>
      </c>
      <c r="J40" t="s">
        <v>251</v>
      </c>
      <c r="M40" t="str">
        <f t="shared" si="2"/>
        <v>C13</v>
      </c>
      <c r="N40" t="str">
        <f t="shared" si="3"/>
        <v>Aiyrtau District</v>
      </c>
    </row>
    <row r="41" spans="1:14" x14ac:dyDescent="0.25">
      <c r="A41" t="s">
        <v>40</v>
      </c>
      <c r="D41" t="str">
        <f t="shared" si="0"/>
        <v>F02</v>
      </c>
      <c r="E41" t="str">
        <f t="shared" si="1"/>
        <v>Irtishskiy</v>
      </c>
      <c r="J41" t="s">
        <v>252</v>
      </c>
      <c r="M41" t="str">
        <f t="shared" si="2"/>
        <v>C14</v>
      </c>
      <c r="N41" t="str">
        <f t="shared" si="3"/>
        <v>Petropavl City Admin</v>
      </c>
    </row>
    <row r="42" spans="1:14" x14ac:dyDescent="0.25">
      <c r="A42" t="s">
        <v>41</v>
      </c>
      <c r="D42" t="str">
        <f t="shared" si="0"/>
        <v>F03</v>
      </c>
      <c r="E42" t="str">
        <f t="shared" si="1"/>
        <v>Kachirskiy</v>
      </c>
      <c r="J42" t="s">
        <v>253</v>
      </c>
      <c r="M42" t="str">
        <f t="shared" si="2"/>
        <v>D01</v>
      </c>
      <c r="N42" t="str">
        <f t="shared" si="3"/>
        <v>Abai District</v>
      </c>
    </row>
    <row r="43" spans="1:14" x14ac:dyDescent="0.25">
      <c r="A43" t="s">
        <v>42</v>
      </c>
      <c r="D43" t="str">
        <f t="shared" si="0"/>
        <v>F04</v>
      </c>
      <c r="E43" t="str">
        <f t="shared" si="1"/>
        <v>Aktogayskiy</v>
      </c>
      <c r="J43" t="s">
        <v>254</v>
      </c>
      <c r="M43" t="str">
        <f t="shared" si="2"/>
        <v>D02</v>
      </c>
      <c r="N43" t="str">
        <f t="shared" si="3"/>
        <v>Aksuat District</v>
      </c>
    </row>
    <row r="44" spans="1:14" x14ac:dyDescent="0.25">
      <c r="A44" t="s">
        <v>43</v>
      </c>
      <c r="D44" t="str">
        <f t="shared" si="0"/>
        <v>F05</v>
      </c>
      <c r="E44" t="str">
        <f t="shared" si="1"/>
        <v>Uspenskiy</v>
      </c>
      <c r="J44" t="s">
        <v>255</v>
      </c>
      <c r="M44" t="str">
        <f t="shared" si="2"/>
        <v>D03</v>
      </c>
      <c r="N44" t="str">
        <f t="shared" si="3"/>
        <v>Ayagoz District</v>
      </c>
    </row>
    <row r="45" spans="1:14" x14ac:dyDescent="0.25">
      <c r="A45" t="s">
        <v>44</v>
      </c>
      <c r="D45" t="str">
        <f t="shared" si="0"/>
        <v>F06</v>
      </c>
      <c r="E45" t="str">
        <f t="shared" si="1"/>
        <v>Pavlodarskiy</v>
      </c>
      <c r="J45" t="s">
        <v>256</v>
      </c>
      <c r="M45" t="str">
        <f t="shared" si="2"/>
        <v>D04</v>
      </c>
      <c r="N45" t="str">
        <f t="shared" si="3"/>
        <v>Beskaragai District</v>
      </c>
    </row>
    <row r="46" spans="1:14" x14ac:dyDescent="0.25">
      <c r="A46" t="s">
        <v>45</v>
      </c>
      <c r="D46" t="str">
        <f t="shared" si="0"/>
        <v>F07</v>
      </c>
      <c r="E46" t="str">
        <f t="shared" si="1"/>
        <v>Scherbaktinskiy</v>
      </c>
      <c r="J46" t="s">
        <v>257</v>
      </c>
      <c r="M46" t="str">
        <f t="shared" si="2"/>
        <v>D05</v>
      </c>
      <c r="N46" t="str">
        <f t="shared" si="3"/>
        <v>Borodulikha District</v>
      </c>
    </row>
    <row r="47" spans="1:14" x14ac:dyDescent="0.25">
      <c r="A47" t="s">
        <v>46</v>
      </c>
      <c r="D47" t="str">
        <f t="shared" si="0"/>
        <v>F08</v>
      </c>
      <c r="E47" t="str">
        <f t="shared" si="1"/>
        <v>Bayanaul'skiy</v>
      </c>
      <c r="J47" t="s">
        <v>258</v>
      </c>
      <c r="M47" t="str">
        <f t="shared" si="2"/>
        <v>D06</v>
      </c>
      <c r="N47" t="str">
        <f t="shared" si="3"/>
        <v>Zhanasemey District</v>
      </c>
    </row>
    <row r="48" spans="1:14" x14ac:dyDescent="0.25">
      <c r="A48" t="s">
        <v>47</v>
      </c>
      <c r="D48" t="str">
        <f t="shared" si="0"/>
        <v>F09</v>
      </c>
      <c r="E48" t="str">
        <f t="shared" si="1"/>
        <v>Mayskiy</v>
      </c>
      <c r="J48" t="s">
        <v>259</v>
      </c>
      <c r="M48" t="str">
        <f t="shared" si="2"/>
        <v>D07</v>
      </c>
      <c r="N48" t="str">
        <f t="shared" si="3"/>
        <v>Zharma District</v>
      </c>
    </row>
    <row r="49" spans="1:14" x14ac:dyDescent="0.25">
      <c r="A49" t="s">
        <v>48</v>
      </c>
      <c r="D49" t="str">
        <f t="shared" si="0"/>
        <v>F10</v>
      </c>
      <c r="E49" t="str">
        <f t="shared" si="1"/>
        <v>Lebyazhinskiy</v>
      </c>
      <c r="J49" t="s">
        <v>260</v>
      </c>
      <c r="M49" t="str">
        <f t="shared" si="2"/>
        <v>D08</v>
      </c>
      <c r="N49" t="str">
        <f t="shared" si="3"/>
        <v>Kokpekti District</v>
      </c>
    </row>
    <row r="50" spans="1:14" x14ac:dyDescent="0.25">
      <c r="A50" t="s">
        <v>49</v>
      </c>
      <c r="D50" t="str">
        <f t="shared" si="0"/>
        <v>F11</v>
      </c>
      <c r="E50" t="str">
        <f t="shared" si="1"/>
        <v>Pavlodar city</v>
      </c>
      <c r="J50" t="s">
        <v>261</v>
      </c>
      <c r="M50" t="str">
        <f t="shared" si="2"/>
        <v>D09</v>
      </c>
      <c r="N50" t="str">
        <f t="shared" si="3"/>
        <v>Makanshy District</v>
      </c>
    </row>
    <row r="51" spans="1:14" x14ac:dyDescent="0.25">
      <c r="A51" t="s">
        <v>50</v>
      </c>
      <c r="D51" t="str">
        <f t="shared" si="0"/>
        <v>F12</v>
      </c>
      <c r="E51" t="str">
        <f t="shared" si="1"/>
        <v>Aksu town</v>
      </c>
      <c r="J51" t="s">
        <v>262</v>
      </c>
      <c r="M51" t="str">
        <f t="shared" si="2"/>
        <v>D10</v>
      </c>
      <c r="N51" t="str">
        <f t="shared" si="3"/>
        <v>Urzhar District</v>
      </c>
    </row>
    <row r="52" spans="1:14" x14ac:dyDescent="0.25">
      <c r="A52" t="s">
        <v>51</v>
      </c>
      <c r="D52" t="str">
        <f t="shared" si="0"/>
        <v>F13</v>
      </c>
      <c r="E52" t="str">
        <f t="shared" si="1"/>
        <v>Ekibastuz town</v>
      </c>
      <c r="J52" t="s">
        <v>263</v>
      </c>
      <c r="M52" t="str">
        <f t="shared" si="2"/>
        <v>D11</v>
      </c>
      <c r="N52" t="str">
        <f t="shared" si="3"/>
        <v>Semey City Administr</v>
      </c>
    </row>
    <row r="53" spans="1:14" x14ac:dyDescent="0.25">
      <c r="A53" t="s">
        <v>52</v>
      </c>
      <c r="D53" t="str">
        <f t="shared" si="0"/>
        <v>G01</v>
      </c>
      <c r="E53" t="str">
        <f t="shared" si="1"/>
        <v>Almalinskiy</v>
      </c>
      <c r="J53" t="s">
        <v>264</v>
      </c>
      <c r="M53" t="str">
        <f t="shared" si="2"/>
        <v>D12</v>
      </c>
      <c r="N53" t="str">
        <f t="shared" si="3"/>
        <v>Kurchatov City Admin</v>
      </c>
    </row>
    <row r="54" spans="1:14" x14ac:dyDescent="0.25">
      <c r="A54" t="s">
        <v>53</v>
      </c>
      <c r="D54" t="str">
        <f t="shared" si="0"/>
        <v>G02</v>
      </c>
      <c r="E54" t="str">
        <f t="shared" si="1"/>
        <v>Auezovskiy</v>
      </c>
      <c r="J54" t="s">
        <v>265</v>
      </c>
      <c r="M54" t="str">
        <f t="shared" si="2"/>
        <v>F01</v>
      </c>
      <c r="N54" t="str">
        <f t="shared" si="3"/>
        <v>Zhelezin District</v>
      </c>
    </row>
    <row r="55" spans="1:14" x14ac:dyDescent="0.25">
      <c r="A55" t="s">
        <v>54</v>
      </c>
      <c r="D55" t="str">
        <f t="shared" si="0"/>
        <v>G03</v>
      </c>
      <c r="E55" t="str">
        <f t="shared" si="1"/>
        <v>Alatauskiy</v>
      </c>
      <c r="J55" t="s">
        <v>266</v>
      </c>
      <c r="M55" t="str">
        <f t="shared" si="2"/>
        <v>F02</v>
      </c>
      <c r="N55" t="str">
        <f t="shared" si="3"/>
        <v>Irtysh District</v>
      </c>
    </row>
    <row r="56" spans="1:14" x14ac:dyDescent="0.25">
      <c r="A56" t="s">
        <v>55</v>
      </c>
      <c r="D56" t="str">
        <f t="shared" si="0"/>
        <v>G04</v>
      </c>
      <c r="E56" t="str">
        <f t="shared" si="1"/>
        <v>Bostandykskiy</v>
      </c>
      <c r="J56" t="s">
        <v>267</v>
      </c>
      <c r="M56" t="str">
        <f t="shared" si="2"/>
        <v>F03</v>
      </c>
      <c r="N56" t="str">
        <f t="shared" si="3"/>
        <v>Terenkol District</v>
      </c>
    </row>
    <row r="57" spans="1:14" x14ac:dyDescent="0.25">
      <c r="A57" t="s">
        <v>56</v>
      </c>
      <c r="D57" t="str">
        <f t="shared" si="0"/>
        <v>G05</v>
      </c>
      <c r="E57" t="str">
        <f t="shared" si="1"/>
        <v>Zhetysuskiy</v>
      </c>
      <c r="J57" t="s">
        <v>268</v>
      </c>
      <c r="M57" t="str">
        <f t="shared" si="2"/>
        <v>F04</v>
      </c>
      <c r="N57" t="str">
        <f t="shared" si="3"/>
        <v>Aktogay District</v>
      </c>
    </row>
    <row r="58" spans="1:14" x14ac:dyDescent="0.25">
      <c r="A58" t="s">
        <v>57</v>
      </c>
      <c r="D58" t="str">
        <f t="shared" si="0"/>
        <v>G06</v>
      </c>
      <c r="E58" t="str">
        <f t="shared" si="1"/>
        <v>Medeuskiy</v>
      </c>
      <c r="J58" t="s">
        <v>269</v>
      </c>
      <c r="M58" t="str">
        <f t="shared" si="2"/>
        <v>F05</v>
      </c>
      <c r="N58" t="str">
        <f t="shared" si="3"/>
        <v>Uspen District</v>
      </c>
    </row>
    <row r="59" spans="1:14" x14ac:dyDescent="0.25">
      <c r="A59" t="s">
        <v>58</v>
      </c>
      <c r="D59" t="str">
        <f t="shared" si="0"/>
        <v>G07</v>
      </c>
      <c r="E59" t="str">
        <f t="shared" si="1"/>
        <v>Turksibskiy</v>
      </c>
      <c r="J59" t="s">
        <v>270</v>
      </c>
      <c r="M59" t="str">
        <f t="shared" si="2"/>
        <v>F06</v>
      </c>
      <c r="N59" t="str">
        <f t="shared" si="3"/>
        <v>Pavlodar District</v>
      </c>
    </row>
    <row r="60" spans="1:14" x14ac:dyDescent="0.25">
      <c r="A60" t="s">
        <v>59</v>
      </c>
      <c r="D60" t="str">
        <f t="shared" si="0"/>
        <v>G08</v>
      </c>
      <c r="E60" t="str">
        <f t="shared" si="1"/>
        <v>Nauryzbayskiy</v>
      </c>
      <c r="J60" t="s">
        <v>271</v>
      </c>
      <c r="M60" t="str">
        <f t="shared" si="2"/>
        <v>F07</v>
      </c>
      <c r="N60" t="str">
        <f t="shared" si="3"/>
        <v>Shcherbakty District</v>
      </c>
    </row>
    <row r="61" spans="1:14" x14ac:dyDescent="0.25">
      <c r="A61" t="s">
        <v>60</v>
      </c>
      <c r="D61" t="str">
        <f t="shared" si="0"/>
        <v>I01</v>
      </c>
      <c r="E61" t="str">
        <f t="shared" si="1"/>
        <v>Martukskiy</v>
      </c>
      <c r="J61" t="s">
        <v>272</v>
      </c>
      <c r="M61" t="str">
        <f t="shared" si="2"/>
        <v>F08</v>
      </c>
      <c r="N61" t="str">
        <f t="shared" si="3"/>
        <v>Bayanaul District</v>
      </c>
    </row>
    <row r="62" spans="1:14" x14ac:dyDescent="0.25">
      <c r="A62" t="s">
        <v>61</v>
      </c>
      <c r="D62" t="str">
        <f t="shared" si="0"/>
        <v>I02</v>
      </c>
      <c r="E62" t="str">
        <f t="shared" si="1"/>
        <v>Kargalinskiy</v>
      </c>
      <c r="J62" t="s">
        <v>273</v>
      </c>
      <c r="M62" t="str">
        <f t="shared" si="2"/>
        <v>F09</v>
      </c>
      <c r="N62" t="str">
        <f t="shared" si="3"/>
        <v>Mai District</v>
      </c>
    </row>
    <row r="63" spans="1:14" x14ac:dyDescent="0.25">
      <c r="A63" t="s">
        <v>62</v>
      </c>
      <c r="D63" t="str">
        <f t="shared" si="0"/>
        <v>I03</v>
      </c>
      <c r="E63" t="str">
        <f t="shared" si="1"/>
        <v>Khobdinskiy</v>
      </c>
      <c r="J63" t="s">
        <v>274</v>
      </c>
      <c r="M63" t="str">
        <f t="shared" si="2"/>
        <v>F10</v>
      </c>
      <c r="N63" t="str">
        <f t="shared" si="3"/>
        <v>Akkuly District</v>
      </c>
    </row>
    <row r="64" spans="1:14" x14ac:dyDescent="0.25">
      <c r="A64" t="s">
        <v>63</v>
      </c>
      <c r="D64" t="str">
        <f t="shared" si="0"/>
        <v>I04</v>
      </c>
      <c r="E64" t="str">
        <f t="shared" si="1"/>
        <v>Alginskiy</v>
      </c>
      <c r="J64" t="s">
        <v>275</v>
      </c>
      <c r="M64" t="str">
        <f t="shared" si="2"/>
        <v>F11</v>
      </c>
      <c r="N64" t="str">
        <f t="shared" si="3"/>
        <v>Pavlodar City Admini</v>
      </c>
    </row>
    <row r="65" spans="1:14" x14ac:dyDescent="0.25">
      <c r="A65" t="s">
        <v>64</v>
      </c>
      <c r="D65" t="str">
        <f t="shared" si="0"/>
        <v>I05</v>
      </c>
      <c r="E65" t="str">
        <f t="shared" si="1"/>
        <v>Khromtauskiy</v>
      </c>
      <c r="J65" t="s">
        <v>276</v>
      </c>
      <c r="M65" t="str">
        <f t="shared" si="2"/>
        <v>F12</v>
      </c>
      <c r="N65" t="str">
        <f t="shared" si="3"/>
        <v>Aksu City Administra</v>
      </c>
    </row>
    <row r="66" spans="1:14" x14ac:dyDescent="0.25">
      <c r="A66" t="s">
        <v>65</v>
      </c>
      <c r="D66" t="str">
        <f t="shared" ref="D66:D129" si="4">LEFT(A66,3)</f>
        <v>I06</v>
      </c>
      <c r="E66" t="str">
        <f t="shared" ref="E66:E129" si="5">MID(A66,5,20)</f>
        <v>Aytekebiyskiy</v>
      </c>
      <c r="J66" t="s">
        <v>277</v>
      </c>
      <c r="M66" t="str">
        <f t="shared" ref="M66:M129" si="6">LEFT(J66,3)</f>
        <v>F13</v>
      </c>
      <c r="N66" t="str">
        <f t="shared" ref="N66:N129" si="7">MID(J66,5,20)</f>
        <v>Ekibastuz City Admin</v>
      </c>
    </row>
    <row r="67" spans="1:14" x14ac:dyDescent="0.25">
      <c r="A67" t="s">
        <v>66</v>
      </c>
      <c r="D67" t="str">
        <f t="shared" si="4"/>
        <v>I07</v>
      </c>
      <c r="E67" t="str">
        <f t="shared" si="5"/>
        <v>Uilskiy</v>
      </c>
      <c r="J67" t="s">
        <v>278</v>
      </c>
      <c r="M67" t="str">
        <f t="shared" si="6"/>
        <v>G01</v>
      </c>
      <c r="N67" t="str">
        <f t="shared" si="7"/>
        <v>Almaty. Almaly Distr</v>
      </c>
    </row>
    <row r="68" spans="1:14" x14ac:dyDescent="0.25">
      <c r="A68" t="s">
        <v>67</v>
      </c>
      <c r="D68" t="str">
        <f t="shared" si="4"/>
        <v>I08</v>
      </c>
      <c r="E68" t="str">
        <f t="shared" si="5"/>
        <v>Temirskiy</v>
      </c>
      <c r="J68" t="s">
        <v>279</v>
      </c>
      <c r="M68" t="str">
        <f t="shared" si="6"/>
        <v>G02</v>
      </c>
      <c r="N68" t="str">
        <f t="shared" si="7"/>
        <v>Almaty. Auezov Distr</v>
      </c>
    </row>
    <row r="69" spans="1:14" x14ac:dyDescent="0.25">
      <c r="A69" t="s">
        <v>68</v>
      </c>
      <c r="D69" t="str">
        <f t="shared" si="4"/>
        <v>I09</v>
      </c>
      <c r="E69" t="str">
        <f t="shared" si="5"/>
        <v>Mugalzharskiy</v>
      </c>
      <c r="J69" t="s">
        <v>280</v>
      </c>
      <c r="M69" t="str">
        <f t="shared" si="6"/>
        <v>G03</v>
      </c>
      <c r="N69" t="str">
        <f t="shared" si="7"/>
        <v>Almaty. Alatau Distr</v>
      </c>
    </row>
    <row r="70" spans="1:14" x14ac:dyDescent="0.25">
      <c r="A70" t="s">
        <v>69</v>
      </c>
      <c r="D70" t="str">
        <f t="shared" si="4"/>
        <v>I10</v>
      </c>
      <c r="E70" t="str">
        <f t="shared" si="5"/>
        <v>Irgizskiy</v>
      </c>
      <c r="J70" t="s">
        <v>281</v>
      </c>
      <c r="M70" t="str">
        <f t="shared" si="6"/>
        <v>G04</v>
      </c>
      <c r="N70" t="str">
        <f t="shared" si="7"/>
        <v>Almaty. Bostandyk Di</v>
      </c>
    </row>
    <row r="71" spans="1:14" x14ac:dyDescent="0.25">
      <c r="A71" t="s">
        <v>70</v>
      </c>
      <c r="D71" t="str">
        <f t="shared" si="4"/>
        <v>I11</v>
      </c>
      <c r="E71" t="str">
        <f t="shared" si="5"/>
        <v>Bayganinskiy</v>
      </c>
      <c r="J71" t="s">
        <v>282</v>
      </c>
      <c r="M71" t="str">
        <f t="shared" si="6"/>
        <v>G05</v>
      </c>
      <c r="N71" t="str">
        <f t="shared" si="7"/>
        <v>Almaty. Zhetysu Dist</v>
      </c>
    </row>
    <row r="72" spans="1:14" x14ac:dyDescent="0.25">
      <c r="A72" t="s">
        <v>71</v>
      </c>
      <c r="D72" t="str">
        <f t="shared" si="4"/>
        <v>I12</v>
      </c>
      <c r="E72" t="str">
        <f t="shared" si="5"/>
        <v>Shalkarskiy</v>
      </c>
      <c r="J72" t="s">
        <v>283</v>
      </c>
      <c r="M72" t="str">
        <f t="shared" si="6"/>
        <v>G06</v>
      </c>
      <c r="N72" t="str">
        <f t="shared" si="7"/>
        <v>Almaty. Medeu Distri</v>
      </c>
    </row>
    <row r="73" spans="1:14" x14ac:dyDescent="0.25">
      <c r="A73" t="s">
        <v>72</v>
      </c>
      <c r="D73" t="str">
        <f t="shared" si="4"/>
        <v>I13</v>
      </c>
      <c r="E73" t="str">
        <f t="shared" si="5"/>
        <v>Aktobe city</v>
      </c>
      <c r="J73" t="s">
        <v>284</v>
      </c>
      <c r="M73" t="str">
        <f t="shared" si="6"/>
        <v>G07</v>
      </c>
      <c r="N73" t="str">
        <f t="shared" si="7"/>
        <v>Almaty. Turksib Dist</v>
      </c>
    </row>
    <row r="74" spans="1:14" x14ac:dyDescent="0.25">
      <c r="A74" t="s">
        <v>73</v>
      </c>
      <c r="D74" t="str">
        <f t="shared" si="4"/>
        <v>J01</v>
      </c>
      <c r="E74" t="str">
        <f t="shared" si="5"/>
        <v>Beskaragayskiy</v>
      </c>
      <c r="J74" t="s">
        <v>285</v>
      </c>
      <c r="M74" t="str">
        <f t="shared" si="6"/>
        <v>G08</v>
      </c>
      <c r="N74" t="str">
        <f t="shared" si="7"/>
        <v>Almaty. Nauryzbai Di</v>
      </c>
    </row>
    <row r="75" spans="1:14" x14ac:dyDescent="0.25">
      <c r="A75" t="s">
        <v>74</v>
      </c>
      <c r="D75" t="str">
        <f t="shared" si="4"/>
        <v>J02</v>
      </c>
      <c r="E75" t="str">
        <f t="shared" si="5"/>
        <v>Borodulikhinskiy</v>
      </c>
      <c r="J75" t="s">
        <v>286</v>
      </c>
      <c r="M75" t="str">
        <f t="shared" si="6"/>
        <v>I01</v>
      </c>
      <c r="N75" t="str">
        <f t="shared" si="7"/>
        <v>Martuk District</v>
      </c>
    </row>
    <row r="76" spans="1:14" x14ac:dyDescent="0.25">
      <c r="A76" t="s">
        <v>75</v>
      </c>
      <c r="D76" t="str">
        <f t="shared" si="4"/>
        <v>J03</v>
      </c>
      <c r="E76" t="str">
        <f t="shared" si="5"/>
        <v>Shemonaikhinskiy</v>
      </c>
      <c r="J76" t="s">
        <v>287</v>
      </c>
      <c r="M76" t="str">
        <f t="shared" si="6"/>
        <v>I02</v>
      </c>
      <c r="N76" t="str">
        <f t="shared" si="7"/>
        <v>Kargaly District</v>
      </c>
    </row>
    <row r="77" spans="1:14" x14ac:dyDescent="0.25">
      <c r="A77" t="s">
        <v>76</v>
      </c>
      <c r="D77" t="str">
        <f t="shared" si="4"/>
        <v>J04</v>
      </c>
      <c r="E77" t="str">
        <f t="shared" si="5"/>
        <v>Glubokovskiy</v>
      </c>
      <c r="J77" t="s">
        <v>288</v>
      </c>
      <c r="M77" t="str">
        <f t="shared" si="6"/>
        <v>I03</v>
      </c>
      <c r="N77" t="str">
        <f t="shared" si="7"/>
        <v>Khobda District</v>
      </c>
    </row>
    <row r="78" spans="1:14" x14ac:dyDescent="0.25">
      <c r="A78" t="s">
        <v>77</v>
      </c>
      <c r="D78" t="str">
        <f t="shared" si="4"/>
        <v>J05</v>
      </c>
      <c r="E78" t="str">
        <f t="shared" si="5"/>
        <v>Zyryanovskiy</v>
      </c>
      <c r="J78" t="s">
        <v>289</v>
      </c>
      <c r="M78" t="str">
        <f t="shared" si="6"/>
        <v>I04</v>
      </c>
      <c r="N78" t="str">
        <f t="shared" si="7"/>
        <v>Alga District</v>
      </c>
    </row>
    <row r="79" spans="1:14" x14ac:dyDescent="0.25">
      <c r="A79" t="s">
        <v>78</v>
      </c>
      <c r="D79" t="str">
        <f t="shared" si="4"/>
        <v>J06</v>
      </c>
      <c r="E79" t="str">
        <f t="shared" si="5"/>
        <v>Uhlanskiy</v>
      </c>
      <c r="J79" t="s">
        <v>290</v>
      </c>
      <c r="M79" t="str">
        <f t="shared" si="6"/>
        <v>I05</v>
      </c>
      <c r="N79" t="str">
        <f t="shared" si="7"/>
        <v>Khromtau District</v>
      </c>
    </row>
    <row r="80" spans="1:14" x14ac:dyDescent="0.25">
      <c r="A80" t="s">
        <v>79</v>
      </c>
      <c r="D80" t="str">
        <f t="shared" si="4"/>
        <v>J07</v>
      </c>
      <c r="E80" t="str">
        <f t="shared" si="5"/>
        <v>Katon-karagayskiy</v>
      </c>
      <c r="J80" t="s">
        <v>291</v>
      </c>
      <c r="M80" t="str">
        <f t="shared" si="6"/>
        <v>I06</v>
      </c>
      <c r="N80" t="str">
        <f t="shared" si="7"/>
        <v>Aitekebi District</v>
      </c>
    </row>
    <row r="81" spans="1:14" x14ac:dyDescent="0.25">
      <c r="A81" t="s">
        <v>80</v>
      </c>
      <c r="D81" t="str">
        <f t="shared" si="4"/>
        <v>J08</v>
      </c>
      <c r="E81" t="str">
        <f t="shared" si="5"/>
        <v>Abayskiy</v>
      </c>
      <c r="J81" t="s">
        <v>292</v>
      </c>
      <c r="M81" t="str">
        <f t="shared" si="6"/>
        <v>I07</v>
      </c>
      <c r="N81" t="str">
        <f t="shared" si="7"/>
        <v>Uil District</v>
      </c>
    </row>
    <row r="82" spans="1:14" x14ac:dyDescent="0.25">
      <c r="A82" t="s">
        <v>81</v>
      </c>
      <c r="D82" t="str">
        <f t="shared" si="4"/>
        <v>J09</v>
      </c>
      <c r="E82" t="str">
        <f t="shared" si="5"/>
        <v>Zharminskiy</v>
      </c>
      <c r="J82" t="s">
        <v>293</v>
      </c>
      <c r="M82" t="str">
        <f t="shared" si="6"/>
        <v>I08</v>
      </c>
      <c r="N82" t="str">
        <f t="shared" si="7"/>
        <v>Temir District</v>
      </c>
    </row>
    <row r="83" spans="1:14" x14ac:dyDescent="0.25">
      <c r="A83" t="s">
        <v>82</v>
      </c>
      <c r="D83" t="str">
        <f t="shared" si="4"/>
        <v>J10</v>
      </c>
      <c r="E83" t="str">
        <f t="shared" si="5"/>
        <v>Kokpektinskiy</v>
      </c>
      <c r="J83" t="s">
        <v>294</v>
      </c>
      <c r="M83" t="str">
        <f t="shared" si="6"/>
        <v>I09</v>
      </c>
      <c r="N83" t="str">
        <f t="shared" si="7"/>
        <v>Mugalzhar District</v>
      </c>
    </row>
    <row r="84" spans="1:14" x14ac:dyDescent="0.25">
      <c r="A84" t="s">
        <v>83</v>
      </c>
      <c r="D84" t="str">
        <f t="shared" si="4"/>
        <v>J11</v>
      </c>
      <c r="E84" t="str">
        <f t="shared" si="5"/>
        <v>Kurchumskiy</v>
      </c>
      <c r="J84" t="s">
        <v>295</v>
      </c>
      <c r="M84" t="str">
        <f t="shared" si="6"/>
        <v>I10</v>
      </c>
      <c r="N84" t="str">
        <f t="shared" si="7"/>
        <v>Irgiz District</v>
      </c>
    </row>
    <row r="85" spans="1:14" x14ac:dyDescent="0.25">
      <c r="A85" t="s">
        <v>84</v>
      </c>
      <c r="D85" t="str">
        <f t="shared" si="4"/>
        <v>J12</v>
      </c>
      <c r="E85" t="str">
        <f t="shared" si="5"/>
        <v>Ayagozskiy</v>
      </c>
      <c r="J85" t="s">
        <v>296</v>
      </c>
      <c r="M85" t="str">
        <f t="shared" si="6"/>
        <v>I11</v>
      </c>
      <c r="N85" t="str">
        <f t="shared" si="7"/>
        <v>Baiganin District</v>
      </c>
    </row>
    <row r="86" spans="1:14" x14ac:dyDescent="0.25">
      <c r="A86" t="s">
        <v>85</v>
      </c>
      <c r="D86" t="str">
        <f t="shared" si="4"/>
        <v>J13</v>
      </c>
      <c r="E86" t="str">
        <f t="shared" si="5"/>
        <v>Tarbagatayskiy</v>
      </c>
      <c r="J86" t="s">
        <v>297</v>
      </c>
      <c r="M86" t="str">
        <f t="shared" si="6"/>
        <v>I12</v>
      </c>
      <c r="N86" t="str">
        <f t="shared" si="7"/>
        <v>Shalkar District</v>
      </c>
    </row>
    <row r="87" spans="1:14" x14ac:dyDescent="0.25">
      <c r="A87" t="s">
        <v>86</v>
      </c>
      <c r="D87" t="str">
        <f t="shared" si="4"/>
        <v>J14</v>
      </c>
      <c r="E87" t="str">
        <f t="shared" si="5"/>
        <v>Zaysanskiy</v>
      </c>
      <c r="J87" t="s">
        <v>298</v>
      </c>
      <c r="M87" t="str">
        <f t="shared" si="6"/>
        <v>I13</v>
      </c>
      <c r="N87" t="str">
        <f t="shared" si="7"/>
        <v>Aktobe. Astana Distr</v>
      </c>
    </row>
    <row r="88" spans="1:14" x14ac:dyDescent="0.25">
      <c r="A88" t="s">
        <v>87</v>
      </c>
      <c r="D88" t="str">
        <f t="shared" si="4"/>
        <v>J15</v>
      </c>
      <c r="E88" t="str">
        <f t="shared" si="5"/>
        <v>Urzharskiy</v>
      </c>
      <c r="J88" t="s">
        <v>299</v>
      </c>
      <c r="M88" t="str">
        <f t="shared" si="6"/>
        <v>I14</v>
      </c>
      <c r="N88" t="str">
        <f t="shared" si="7"/>
        <v>Aktobe. Almaty Distr</v>
      </c>
    </row>
    <row r="89" spans="1:14" x14ac:dyDescent="0.25">
      <c r="A89" t="s">
        <v>88</v>
      </c>
      <c r="D89" t="str">
        <f t="shared" si="4"/>
        <v>J16</v>
      </c>
      <c r="E89" t="str">
        <f t="shared" si="5"/>
        <v>Ust'-kamenogorsk cit</v>
      </c>
      <c r="J89" t="s">
        <v>300</v>
      </c>
      <c r="M89" t="str">
        <f t="shared" si="6"/>
        <v>J01</v>
      </c>
      <c r="N89" t="str">
        <f t="shared" si="7"/>
        <v>Oskemen City Adminis</v>
      </c>
    </row>
    <row r="90" spans="1:14" x14ac:dyDescent="0.25">
      <c r="A90" t="s">
        <v>89</v>
      </c>
      <c r="D90" t="str">
        <f t="shared" si="4"/>
        <v>J17</v>
      </c>
      <c r="E90" t="str">
        <f t="shared" si="5"/>
        <v>Ayagoz town</v>
      </c>
      <c r="J90" t="s">
        <v>301</v>
      </c>
      <c r="M90" t="str">
        <f t="shared" si="6"/>
        <v>J02</v>
      </c>
      <c r="N90" t="str">
        <f t="shared" si="7"/>
        <v>Ridder City Administ</v>
      </c>
    </row>
    <row r="91" spans="1:14" x14ac:dyDescent="0.25">
      <c r="A91" t="s">
        <v>90</v>
      </c>
      <c r="D91" t="str">
        <f t="shared" si="4"/>
        <v>J18</v>
      </c>
      <c r="E91" t="str">
        <f t="shared" si="5"/>
        <v>Zyryanovsk town</v>
      </c>
      <c r="J91" t="s">
        <v>302</v>
      </c>
      <c r="M91" t="str">
        <f t="shared" si="6"/>
        <v>J03</v>
      </c>
      <c r="N91" t="str">
        <f t="shared" si="7"/>
        <v>Shemonaikha District</v>
      </c>
    </row>
    <row r="92" spans="1:14" x14ac:dyDescent="0.25">
      <c r="A92" t="s">
        <v>91</v>
      </c>
      <c r="D92" t="str">
        <f t="shared" si="4"/>
        <v>J19</v>
      </c>
      <c r="E92" t="str">
        <f t="shared" si="5"/>
        <v>Kurchatov town</v>
      </c>
      <c r="J92" t="s">
        <v>303</v>
      </c>
      <c r="M92" t="str">
        <f t="shared" si="6"/>
        <v>J04</v>
      </c>
      <c r="N92" t="str">
        <f t="shared" si="7"/>
        <v>Glubokoe District</v>
      </c>
    </row>
    <row r="93" spans="1:14" x14ac:dyDescent="0.25">
      <c r="A93" t="s">
        <v>92</v>
      </c>
      <c r="D93" t="str">
        <f t="shared" si="4"/>
        <v>J20</v>
      </c>
      <c r="E93" t="str">
        <f t="shared" si="5"/>
        <v>Ridder town</v>
      </c>
      <c r="J93" t="s">
        <v>304</v>
      </c>
      <c r="M93" t="str">
        <f t="shared" si="6"/>
        <v>J05</v>
      </c>
      <c r="N93" t="str">
        <f t="shared" si="7"/>
        <v>Altai District</v>
      </c>
    </row>
    <row r="94" spans="1:14" x14ac:dyDescent="0.25">
      <c r="A94" t="s">
        <v>93</v>
      </c>
      <c r="D94" t="str">
        <f t="shared" si="4"/>
        <v>J21</v>
      </c>
      <c r="E94" t="str">
        <f t="shared" si="5"/>
        <v>Semipalatinsk town</v>
      </c>
      <c r="J94" t="s">
        <v>305</v>
      </c>
      <c r="M94" t="str">
        <f t="shared" si="6"/>
        <v>J06</v>
      </c>
      <c r="N94" t="str">
        <f t="shared" si="7"/>
        <v>Ulan District</v>
      </c>
    </row>
    <row r="95" spans="1:14" x14ac:dyDescent="0.25">
      <c r="A95" t="s">
        <v>94</v>
      </c>
      <c r="D95" t="str">
        <f t="shared" si="4"/>
        <v>K01</v>
      </c>
      <c r="E95" t="str">
        <f t="shared" si="5"/>
        <v>Aralskiy</v>
      </c>
      <c r="J95" t="s">
        <v>306</v>
      </c>
      <c r="M95" t="str">
        <f t="shared" si="6"/>
        <v>J07</v>
      </c>
      <c r="N95" t="str">
        <f t="shared" si="7"/>
        <v>Katon-Karagai Distri</v>
      </c>
    </row>
    <row r="96" spans="1:14" x14ac:dyDescent="0.25">
      <c r="A96" t="s">
        <v>95</v>
      </c>
      <c r="D96" t="str">
        <f t="shared" si="4"/>
        <v>K02</v>
      </c>
      <c r="E96" t="str">
        <f t="shared" si="5"/>
        <v>Kazalinskiy</v>
      </c>
      <c r="J96" t="s">
        <v>307</v>
      </c>
      <c r="M96" t="str">
        <f t="shared" si="6"/>
        <v>J08</v>
      </c>
      <c r="N96" t="str">
        <f t="shared" si="7"/>
        <v>Ulken Naryn District</v>
      </c>
    </row>
    <row r="97" spans="1:14" x14ac:dyDescent="0.25">
      <c r="A97" t="s">
        <v>96</v>
      </c>
      <c r="D97" t="str">
        <f t="shared" si="4"/>
        <v>K03</v>
      </c>
      <c r="E97" t="str">
        <f t="shared" si="5"/>
        <v>Karmakshinskiy</v>
      </c>
      <c r="J97" t="s">
        <v>308</v>
      </c>
      <c r="M97" t="str">
        <f t="shared" si="6"/>
        <v>J09</v>
      </c>
      <c r="N97" t="str">
        <f t="shared" si="7"/>
        <v>Markakol District</v>
      </c>
    </row>
    <row r="98" spans="1:14" x14ac:dyDescent="0.25">
      <c r="A98" t="s">
        <v>97</v>
      </c>
      <c r="D98" t="str">
        <f t="shared" si="4"/>
        <v>K04</v>
      </c>
      <c r="E98" t="str">
        <f t="shared" si="5"/>
        <v>Zhalagashskiy</v>
      </c>
      <c r="J98" t="s">
        <v>309</v>
      </c>
      <c r="M98" t="str">
        <f t="shared" si="6"/>
        <v>J10</v>
      </c>
      <c r="N98" t="str">
        <f t="shared" si="7"/>
        <v>Samar District</v>
      </c>
    </row>
    <row r="99" spans="1:14" x14ac:dyDescent="0.25">
      <c r="A99" t="s">
        <v>98</v>
      </c>
      <c r="D99" t="str">
        <f t="shared" si="4"/>
        <v>K05</v>
      </c>
      <c r="E99" t="str">
        <f t="shared" si="5"/>
        <v>Syr darya</v>
      </c>
      <c r="J99" t="s">
        <v>310</v>
      </c>
      <c r="M99" t="str">
        <f t="shared" si="6"/>
        <v>J11</v>
      </c>
      <c r="N99" t="str">
        <f t="shared" si="7"/>
        <v>Kurchum District</v>
      </c>
    </row>
    <row r="100" spans="1:14" x14ac:dyDescent="0.25">
      <c r="A100" t="s">
        <v>99</v>
      </c>
      <c r="D100" t="str">
        <f t="shared" si="4"/>
        <v>K06</v>
      </c>
      <c r="E100" t="str">
        <f t="shared" si="5"/>
        <v>Shieliyskiy</v>
      </c>
      <c r="J100" t="s">
        <v>311</v>
      </c>
      <c r="M100" t="str">
        <f t="shared" si="6"/>
        <v>J12</v>
      </c>
      <c r="N100" t="str">
        <f t="shared" si="7"/>
        <v>Tarbagatai District</v>
      </c>
    </row>
    <row r="101" spans="1:14" x14ac:dyDescent="0.25">
      <c r="A101" t="s">
        <v>100</v>
      </c>
      <c r="D101" t="str">
        <f t="shared" si="4"/>
        <v>K07</v>
      </c>
      <c r="E101" t="str">
        <f t="shared" si="5"/>
        <v>Zhanakorganskiy</v>
      </c>
      <c r="J101" t="s">
        <v>312</v>
      </c>
      <c r="M101" t="str">
        <f t="shared" si="6"/>
        <v>J13</v>
      </c>
      <c r="N101" t="str">
        <f t="shared" si="7"/>
        <v>Zaisan District</v>
      </c>
    </row>
    <row r="102" spans="1:14" x14ac:dyDescent="0.25">
      <c r="A102" t="s">
        <v>101</v>
      </c>
      <c r="D102" t="str">
        <f t="shared" si="4"/>
        <v>K08</v>
      </c>
      <c r="E102" t="str">
        <f t="shared" si="5"/>
        <v>Kyzylorda city</v>
      </c>
      <c r="J102" t="s">
        <v>313</v>
      </c>
      <c r="M102" t="str">
        <f t="shared" si="6"/>
        <v>K01</v>
      </c>
      <c r="N102" t="str">
        <f t="shared" si="7"/>
        <v>Aral District</v>
      </c>
    </row>
    <row r="103" spans="1:14" x14ac:dyDescent="0.25">
      <c r="A103" t="s">
        <v>102</v>
      </c>
      <c r="D103" t="str">
        <f t="shared" si="4"/>
        <v>K09</v>
      </c>
      <c r="E103" t="str">
        <f t="shared" si="5"/>
        <v>Baykonyr town</v>
      </c>
      <c r="J103" t="s">
        <v>314</v>
      </c>
      <c r="M103" t="str">
        <f t="shared" si="6"/>
        <v>K02</v>
      </c>
      <c r="N103" t="str">
        <f t="shared" si="7"/>
        <v>Kazaly District</v>
      </c>
    </row>
    <row r="104" spans="1:14" x14ac:dyDescent="0.25">
      <c r="A104" t="s">
        <v>103</v>
      </c>
      <c r="D104" t="str">
        <f t="shared" si="4"/>
        <v>L01</v>
      </c>
      <c r="E104" t="str">
        <f t="shared" si="5"/>
        <v>Karabalykskiy</v>
      </c>
      <c r="J104" t="s">
        <v>315</v>
      </c>
      <c r="M104" t="str">
        <f t="shared" si="6"/>
        <v>K03</v>
      </c>
      <c r="N104" t="str">
        <f t="shared" si="7"/>
        <v>Karmakshy District</v>
      </c>
    </row>
    <row r="105" spans="1:14" x14ac:dyDescent="0.25">
      <c r="A105" t="s">
        <v>104</v>
      </c>
      <c r="D105" t="str">
        <f t="shared" si="4"/>
        <v>L02</v>
      </c>
      <c r="E105" t="str">
        <f t="shared" si="5"/>
        <v>Fedorovskiy</v>
      </c>
      <c r="J105" t="s">
        <v>316</v>
      </c>
      <c r="M105" t="str">
        <f t="shared" si="6"/>
        <v>K04</v>
      </c>
      <c r="N105" t="str">
        <f t="shared" si="7"/>
        <v>Zhalagash District</v>
      </c>
    </row>
    <row r="106" spans="1:14" x14ac:dyDescent="0.25">
      <c r="A106" t="s">
        <v>105</v>
      </c>
      <c r="D106" t="str">
        <f t="shared" si="4"/>
        <v>L03</v>
      </c>
      <c r="E106" t="str">
        <f t="shared" si="5"/>
        <v>Mendykarinskiy</v>
      </c>
      <c r="J106" t="s">
        <v>317</v>
      </c>
      <c r="M106" t="str">
        <f t="shared" si="6"/>
        <v>K05</v>
      </c>
      <c r="N106" t="str">
        <f t="shared" si="7"/>
        <v>Syrdarya District</v>
      </c>
    </row>
    <row r="107" spans="1:14" x14ac:dyDescent="0.25">
      <c r="A107" t="s">
        <v>106</v>
      </c>
      <c r="D107" t="str">
        <f t="shared" si="4"/>
        <v>L04</v>
      </c>
      <c r="E107" t="str">
        <f t="shared" si="5"/>
        <v>Uzunkolskiy</v>
      </c>
      <c r="J107" t="s">
        <v>318</v>
      </c>
      <c r="M107" t="str">
        <f t="shared" si="6"/>
        <v>K06</v>
      </c>
      <c r="N107" t="str">
        <f t="shared" si="7"/>
        <v>Shieli District</v>
      </c>
    </row>
    <row r="108" spans="1:14" x14ac:dyDescent="0.25">
      <c r="A108" t="s">
        <v>107</v>
      </c>
      <c r="D108" t="str">
        <f t="shared" si="4"/>
        <v>L05</v>
      </c>
      <c r="E108" t="str">
        <f t="shared" si="5"/>
        <v>Kostanayskiy</v>
      </c>
      <c r="J108" t="s">
        <v>319</v>
      </c>
      <c r="M108" t="str">
        <f t="shared" si="6"/>
        <v>K07</v>
      </c>
      <c r="N108" t="str">
        <f t="shared" si="7"/>
        <v>Zhanakorgan District</v>
      </c>
    </row>
    <row r="109" spans="1:14" x14ac:dyDescent="0.25">
      <c r="A109" t="s">
        <v>108</v>
      </c>
      <c r="D109" t="str">
        <f t="shared" si="4"/>
        <v>L06</v>
      </c>
      <c r="E109" t="str">
        <f t="shared" si="5"/>
        <v>Sarykolskiy</v>
      </c>
      <c r="J109" t="s">
        <v>320</v>
      </c>
      <c r="M109" t="str">
        <f t="shared" si="6"/>
        <v>K08</v>
      </c>
      <c r="N109" t="str">
        <f t="shared" si="7"/>
        <v>Kyzylorda City Admin</v>
      </c>
    </row>
    <row r="110" spans="1:14" x14ac:dyDescent="0.25">
      <c r="A110" t="s">
        <v>109</v>
      </c>
      <c r="D110" t="str">
        <f t="shared" si="4"/>
        <v>L07</v>
      </c>
      <c r="E110" t="str">
        <f t="shared" si="5"/>
        <v>Altynsarinskiy</v>
      </c>
      <c r="J110" t="s">
        <v>321</v>
      </c>
      <c r="M110" t="str">
        <f t="shared" si="6"/>
        <v>L01</v>
      </c>
      <c r="N110" t="str">
        <f t="shared" si="7"/>
        <v>Karabalyk District</v>
      </c>
    </row>
    <row r="111" spans="1:14" x14ac:dyDescent="0.25">
      <c r="A111" t="s">
        <v>110</v>
      </c>
      <c r="D111" t="str">
        <f t="shared" si="4"/>
        <v>L08</v>
      </c>
      <c r="E111" t="str">
        <f t="shared" si="5"/>
        <v>Denisovskiy</v>
      </c>
      <c r="J111" t="s">
        <v>322</v>
      </c>
      <c r="M111" t="str">
        <f t="shared" si="6"/>
        <v>L02</v>
      </c>
      <c r="N111" t="str">
        <f t="shared" si="7"/>
        <v>Fyodorov District</v>
      </c>
    </row>
    <row r="112" spans="1:14" x14ac:dyDescent="0.25">
      <c r="A112" t="s">
        <v>111</v>
      </c>
      <c r="D112" t="str">
        <f t="shared" si="4"/>
        <v>L09</v>
      </c>
      <c r="E112" t="str">
        <f t="shared" si="5"/>
        <v>Taranovskiy</v>
      </c>
      <c r="J112" t="s">
        <v>323</v>
      </c>
      <c r="M112" t="str">
        <f t="shared" si="6"/>
        <v>L03</v>
      </c>
      <c r="N112" t="str">
        <f t="shared" si="7"/>
        <v>Mendykara District</v>
      </c>
    </row>
    <row r="113" spans="1:14" x14ac:dyDescent="0.25">
      <c r="A113" t="s">
        <v>112</v>
      </c>
      <c r="D113" t="str">
        <f t="shared" si="4"/>
        <v>L10</v>
      </c>
      <c r="E113" t="str">
        <f t="shared" si="5"/>
        <v>Auliekolskiy</v>
      </c>
      <c r="J113" t="s">
        <v>324</v>
      </c>
      <c r="M113" t="str">
        <f t="shared" si="6"/>
        <v>L04</v>
      </c>
      <c r="N113" t="str">
        <f t="shared" si="7"/>
        <v>Uzynkol District</v>
      </c>
    </row>
    <row r="114" spans="1:14" x14ac:dyDescent="0.25">
      <c r="A114" t="s">
        <v>113</v>
      </c>
      <c r="D114" t="str">
        <f t="shared" si="4"/>
        <v>L11</v>
      </c>
      <c r="E114" t="str">
        <f t="shared" si="5"/>
        <v>Karasuskiy</v>
      </c>
      <c r="J114" t="s">
        <v>325</v>
      </c>
      <c r="M114" t="str">
        <f t="shared" si="6"/>
        <v>L05</v>
      </c>
      <c r="N114" t="str">
        <f t="shared" si="7"/>
        <v>Kostanay District</v>
      </c>
    </row>
    <row r="115" spans="1:14" x14ac:dyDescent="0.25">
      <c r="A115" t="s">
        <v>114</v>
      </c>
      <c r="D115" t="str">
        <f t="shared" si="4"/>
        <v>L12</v>
      </c>
      <c r="E115" t="str">
        <f t="shared" si="5"/>
        <v>Zhitikarinskiy</v>
      </c>
      <c r="J115" t="s">
        <v>326</v>
      </c>
      <c r="M115" t="str">
        <f t="shared" si="6"/>
        <v>L06</v>
      </c>
      <c r="N115" t="str">
        <f t="shared" si="7"/>
        <v>Sarykol District</v>
      </c>
    </row>
    <row r="116" spans="1:14" x14ac:dyDescent="0.25">
      <c r="A116" t="s">
        <v>115</v>
      </c>
      <c r="D116" t="str">
        <f t="shared" si="4"/>
        <v>L13</v>
      </c>
      <c r="E116" t="str">
        <f t="shared" si="5"/>
        <v>Kamystinskiy</v>
      </c>
      <c r="J116" t="s">
        <v>327</v>
      </c>
      <c r="M116" t="str">
        <f t="shared" si="6"/>
        <v>L07</v>
      </c>
      <c r="N116" t="str">
        <f t="shared" si="7"/>
        <v>Altynsarin District</v>
      </c>
    </row>
    <row r="117" spans="1:14" x14ac:dyDescent="0.25">
      <c r="A117" t="s">
        <v>116</v>
      </c>
      <c r="D117" t="str">
        <f t="shared" si="4"/>
        <v>L14</v>
      </c>
      <c r="E117" t="str">
        <f t="shared" si="5"/>
        <v>Naurzumskiy</v>
      </c>
      <c r="J117" t="s">
        <v>328</v>
      </c>
      <c r="M117" t="str">
        <f t="shared" si="6"/>
        <v>L08</v>
      </c>
      <c r="N117" t="str">
        <f t="shared" si="7"/>
        <v>Denisov District</v>
      </c>
    </row>
    <row r="118" spans="1:14" x14ac:dyDescent="0.25">
      <c r="A118" t="s">
        <v>117</v>
      </c>
      <c r="D118" t="str">
        <f t="shared" si="4"/>
        <v>L15</v>
      </c>
      <c r="E118" t="str">
        <f t="shared" si="5"/>
        <v>Dzhangel'dinskiy</v>
      </c>
      <c r="J118" t="s">
        <v>329</v>
      </c>
      <c r="M118" t="str">
        <f t="shared" si="6"/>
        <v>L09</v>
      </c>
      <c r="N118" t="str">
        <f t="shared" si="7"/>
        <v>Beimbet Mailin Distr</v>
      </c>
    </row>
    <row r="119" spans="1:14" x14ac:dyDescent="0.25">
      <c r="A119" t="s">
        <v>118</v>
      </c>
      <c r="D119" t="str">
        <f t="shared" si="4"/>
        <v>L16</v>
      </c>
      <c r="E119" t="str">
        <f t="shared" si="5"/>
        <v>Amangel'dinskiy</v>
      </c>
      <c r="J119" t="s">
        <v>330</v>
      </c>
      <c r="M119" t="str">
        <f t="shared" si="6"/>
        <v>L10</v>
      </c>
      <c r="N119" t="str">
        <f t="shared" si="7"/>
        <v>Auliekol District</v>
      </c>
    </row>
    <row r="120" spans="1:14" x14ac:dyDescent="0.25">
      <c r="A120" t="s">
        <v>119</v>
      </c>
      <c r="D120" t="str">
        <f t="shared" si="4"/>
        <v>L17</v>
      </c>
      <c r="E120" t="str">
        <f t="shared" si="5"/>
        <v>Kostanay city</v>
      </c>
      <c r="J120" t="s">
        <v>331</v>
      </c>
      <c r="M120" t="str">
        <f t="shared" si="6"/>
        <v>L11</v>
      </c>
      <c r="N120" t="str">
        <f t="shared" si="7"/>
        <v>Karasu District</v>
      </c>
    </row>
    <row r="121" spans="1:14" x14ac:dyDescent="0.25">
      <c r="A121" t="s">
        <v>120</v>
      </c>
      <c r="D121" t="str">
        <f t="shared" si="4"/>
        <v>L18</v>
      </c>
      <c r="E121" t="str">
        <f t="shared" si="5"/>
        <v>Arkalyk town</v>
      </c>
      <c r="J121" t="s">
        <v>332</v>
      </c>
      <c r="M121" t="str">
        <f t="shared" si="6"/>
        <v>L12</v>
      </c>
      <c r="N121" t="str">
        <f t="shared" si="7"/>
        <v>Zhitikara District</v>
      </c>
    </row>
    <row r="122" spans="1:14" x14ac:dyDescent="0.25">
      <c r="A122" t="s">
        <v>121</v>
      </c>
      <c r="D122" t="str">
        <f t="shared" si="4"/>
        <v>L19</v>
      </c>
      <c r="E122" t="str">
        <f t="shared" si="5"/>
        <v>Lisakovsk town</v>
      </c>
      <c r="J122" t="s">
        <v>333</v>
      </c>
      <c r="M122" t="str">
        <f t="shared" si="6"/>
        <v>L13</v>
      </c>
      <c r="N122" t="str">
        <f t="shared" si="7"/>
        <v>Kamysty District</v>
      </c>
    </row>
    <row r="123" spans="1:14" x14ac:dyDescent="0.25">
      <c r="A123" t="s">
        <v>122</v>
      </c>
      <c r="D123" t="str">
        <f t="shared" si="4"/>
        <v>L20</v>
      </c>
      <c r="E123" t="str">
        <f t="shared" si="5"/>
        <v>Rudny town</v>
      </c>
      <c r="J123" t="s">
        <v>334</v>
      </c>
      <c r="M123" t="str">
        <f t="shared" si="6"/>
        <v>L14</v>
      </c>
      <c r="N123" t="str">
        <f t="shared" si="7"/>
        <v>Naurzum District</v>
      </c>
    </row>
    <row r="124" spans="1:14" x14ac:dyDescent="0.25">
      <c r="A124" t="s">
        <v>123</v>
      </c>
      <c r="D124" t="str">
        <f t="shared" si="4"/>
        <v>M01</v>
      </c>
      <c r="E124" t="str">
        <f t="shared" si="5"/>
        <v>Zelenovskiy</v>
      </c>
      <c r="J124" t="s">
        <v>335</v>
      </c>
      <c r="M124" t="str">
        <f t="shared" si="6"/>
        <v>L15</v>
      </c>
      <c r="N124" t="str">
        <f t="shared" si="7"/>
        <v>Zhangeldi District</v>
      </c>
    </row>
    <row r="125" spans="1:14" x14ac:dyDescent="0.25">
      <c r="A125" t="s">
        <v>124</v>
      </c>
      <c r="D125" t="str">
        <f t="shared" si="4"/>
        <v>M02</v>
      </c>
      <c r="E125" t="str">
        <f t="shared" si="5"/>
        <v>Terektinskiy</v>
      </c>
      <c r="J125" t="s">
        <v>336</v>
      </c>
      <c r="M125" t="str">
        <f t="shared" si="6"/>
        <v>L16</v>
      </c>
      <c r="N125" t="str">
        <f t="shared" si="7"/>
        <v>Amangeldi District</v>
      </c>
    </row>
    <row r="126" spans="1:14" x14ac:dyDescent="0.25">
      <c r="A126" t="s">
        <v>125</v>
      </c>
      <c r="D126" t="str">
        <f t="shared" si="4"/>
        <v>M03</v>
      </c>
      <c r="E126" t="str">
        <f t="shared" si="5"/>
        <v>Burlinskiy</v>
      </c>
      <c r="J126" t="s">
        <v>337</v>
      </c>
      <c r="M126" t="str">
        <f t="shared" si="6"/>
        <v>L17</v>
      </c>
      <c r="N126" t="str">
        <f t="shared" si="7"/>
        <v>Kostanay City Admini</v>
      </c>
    </row>
    <row r="127" spans="1:14" x14ac:dyDescent="0.25">
      <c r="A127" t="s">
        <v>126</v>
      </c>
      <c r="D127" t="str">
        <f t="shared" si="4"/>
        <v>M04</v>
      </c>
      <c r="E127" t="str">
        <f t="shared" si="5"/>
        <v>Chingirlauskiy</v>
      </c>
      <c r="J127" t="s">
        <v>338</v>
      </c>
      <c r="M127" t="str">
        <f t="shared" si="6"/>
        <v>L18</v>
      </c>
      <c r="N127" t="str">
        <f t="shared" si="7"/>
        <v>Arkalyk City Adminis</v>
      </c>
    </row>
    <row r="128" spans="1:14" x14ac:dyDescent="0.25">
      <c r="A128" t="s">
        <v>127</v>
      </c>
      <c r="D128" t="str">
        <f t="shared" si="4"/>
        <v>M05</v>
      </c>
      <c r="E128" t="str">
        <f t="shared" si="5"/>
        <v>Taskalinskiy</v>
      </c>
      <c r="J128" t="s">
        <v>339</v>
      </c>
      <c r="M128" t="str">
        <f t="shared" si="6"/>
        <v>L19</v>
      </c>
      <c r="N128" t="str">
        <f t="shared" si="7"/>
        <v>Lisakovsk City Admin</v>
      </c>
    </row>
    <row r="129" spans="1:14" x14ac:dyDescent="0.25">
      <c r="A129" t="s">
        <v>128</v>
      </c>
      <c r="D129" t="str">
        <f t="shared" si="4"/>
        <v>M06</v>
      </c>
      <c r="E129" t="str">
        <f t="shared" si="5"/>
        <v>Akzhaikskiy</v>
      </c>
      <c r="J129" t="s">
        <v>340</v>
      </c>
      <c r="M129" t="str">
        <f t="shared" si="6"/>
        <v>L20</v>
      </c>
      <c r="N129" t="str">
        <f t="shared" si="7"/>
        <v>Rudny City Administr</v>
      </c>
    </row>
    <row r="130" spans="1:14" x14ac:dyDescent="0.25">
      <c r="A130" t="s">
        <v>129</v>
      </c>
      <c r="D130" t="str">
        <f t="shared" ref="D130:D193" si="8">LEFT(A130,3)</f>
        <v>M07</v>
      </c>
      <c r="E130" t="str">
        <f t="shared" ref="E130:E193" si="9">MID(A130,5,20)</f>
        <v>Syrymskiy</v>
      </c>
      <c r="J130" t="s">
        <v>341</v>
      </c>
      <c r="M130" t="str">
        <f t="shared" ref="M130:M193" si="10">LEFT(J130,3)</f>
        <v>M01</v>
      </c>
      <c r="N130" t="str">
        <f t="shared" ref="N130:N193" si="11">MID(J130,5,20)</f>
        <v>Baiterek District</v>
      </c>
    </row>
    <row r="131" spans="1:14" x14ac:dyDescent="0.25">
      <c r="A131" t="s">
        <v>130</v>
      </c>
      <c r="D131" t="str">
        <f t="shared" si="8"/>
        <v>M08</v>
      </c>
      <c r="E131" t="str">
        <f t="shared" si="9"/>
        <v>Zhanibekskiy</v>
      </c>
      <c r="J131" t="s">
        <v>342</v>
      </c>
      <c r="M131" t="str">
        <f t="shared" si="10"/>
        <v>M02</v>
      </c>
      <c r="N131" t="str">
        <f t="shared" si="11"/>
        <v>Terekti District</v>
      </c>
    </row>
    <row r="132" spans="1:14" x14ac:dyDescent="0.25">
      <c r="A132" t="s">
        <v>131</v>
      </c>
      <c r="D132" t="str">
        <f t="shared" si="8"/>
        <v>M09</v>
      </c>
      <c r="E132" t="str">
        <f t="shared" si="9"/>
        <v>Kaztalovskiy</v>
      </c>
      <c r="J132" t="s">
        <v>343</v>
      </c>
      <c r="M132" t="str">
        <f t="shared" si="10"/>
        <v>M03</v>
      </c>
      <c r="N132" t="str">
        <f t="shared" si="11"/>
        <v>Burlyn District</v>
      </c>
    </row>
    <row r="133" spans="1:14" x14ac:dyDescent="0.25">
      <c r="A133" t="s">
        <v>132</v>
      </c>
      <c r="D133" t="str">
        <f t="shared" si="8"/>
        <v>M10</v>
      </c>
      <c r="E133" t="str">
        <f t="shared" si="9"/>
        <v>Karatobinskiy</v>
      </c>
      <c r="J133" t="s">
        <v>344</v>
      </c>
      <c r="M133" t="str">
        <f t="shared" si="10"/>
        <v>M04</v>
      </c>
      <c r="N133" t="str">
        <f t="shared" si="11"/>
        <v>Shyngyrlau District</v>
      </c>
    </row>
    <row r="134" spans="1:14" x14ac:dyDescent="0.25">
      <c r="A134" t="s">
        <v>133</v>
      </c>
      <c r="D134" t="str">
        <f t="shared" si="8"/>
        <v>M11</v>
      </c>
      <c r="E134" t="str">
        <f t="shared" si="9"/>
        <v>Bokeiyordynskiy</v>
      </c>
      <c r="J134" t="s">
        <v>345</v>
      </c>
      <c r="M134" t="str">
        <f t="shared" si="10"/>
        <v>M05</v>
      </c>
      <c r="N134" t="str">
        <f t="shared" si="11"/>
        <v>Taskala District</v>
      </c>
    </row>
    <row r="135" spans="1:14" x14ac:dyDescent="0.25">
      <c r="A135" t="s">
        <v>134</v>
      </c>
      <c r="D135" t="str">
        <f t="shared" si="8"/>
        <v>M12</v>
      </c>
      <c r="E135" t="str">
        <f t="shared" si="9"/>
        <v>Dzhangalinskiy</v>
      </c>
      <c r="J135" t="s">
        <v>346</v>
      </c>
      <c r="M135" t="str">
        <f t="shared" si="10"/>
        <v>M06</v>
      </c>
      <c r="N135" t="str">
        <f t="shared" si="11"/>
        <v>Akzhaiyk District</v>
      </c>
    </row>
    <row r="136" spans="1:14" x14ac:dyDescent="0.25">
      <c r="A136" t="s">
        <v>135</v>
      </c>
      <c r="D136" t="str">
        <f t="shared" si="8"/>
        <v>M13</v>
      </c>
      <c r="E136" t="str">
        <f t="shared" si="9"/>
        <v>Uralsk city</v>
      </c>
      <c r="J136" t="s">
        <v>347</v>
      </c>
      <c r="M136" t="str">
        <f t="shared" si="10"/>
        <v>M07</v>
      </c>
      <c r="N136" t="str">
        <f t="shared" si="11"/>
        <v>Syrym District</v>
      </c>
    </row>
    <row r="137" spans="1:14" x14ac:dyDescent="0.25">
      <c r="A137" t="s">
        <v>136</v>
      </c>
      <c r="D137" t="str">
        <f t="shared" si="8"/>
        <v>N01</v>
      </c>
      <c r="E137" t="str">
        <f t="shared" si="9"/>
        <v>Suzakskiy</v>
      </c>
      <c r="J137" t="s">
        <v>348</v>
      </c>
      <c r="M137" t="str">
        <f t="shared" si="10"/>
        <v>M08</v>
      </c>
      <c r="N137" t="str">
        <f t="shared" si="11"/>
        <v>Zhanibek District</v>
      </c>
    </row>
    <row r="138" spans="1:14" x14ac:dyDescent="0.25">
      <c r="A138" t="s">
        <v>137</v>
      </c>
      <c r="D138" t="str">
        <f t="shared" si="8"/>
        <v>N02</v>
      </c>
      <c r="E138" t="str">
        <f t="shared" si="9"/>
        <v>district of Baydibek</v>
      </c>
      <c r="J138" t="s">
        <v>349</v>
      </c>
      <c r="M138" t="str">
        <f t="shared" si="10"/>
        <v>M09</v>
      </c>
      <c r="N138" t="str">
        <f t="shared" si="11"/>
        <v>Kaztalov District</v>
      </c>
    </row>
    <row r="139" spans="1:14" x14ac:dyDescent="0.25">
      <c r="A139" t="s">
        <v>138</v>
      </c>
      <c r="D139" t="str">
        <f t="shared" si="8"/>
        <v>N03</v>
      </c>
      <c r="E139" t="str">
        <f t="shared" si="9"/>
        <v>Otrarskiy</v>
      </c>
      <c r="J139" t="s">
        <v>350</v>
      </c>
      <c r="M139" t="str">
        <f t="shared" si="10"/>
        <v>M10</v>
      </c>
      <c r="N139" t="str">
        <f t="shared" si="11"/>
        <v>Karatobe District</v>
      </c>
    </row>
    <row r="140" spans="1:14" x14ac:dyDescent="0.25">
      <c r="A140" t="s">
        <v>139</v>
      </c>
      <c r="D140" t="str">
        <f t="shared" si="8"/>
        <v>N04</v>
      </c>
      <c r="E140" t="str">
        <f t="shared" si="9"/>
        <v>Ordabasynskiy</v>
      </c>
      <c r="J140" t="s">
        <v>351</v>
      </c>
      <c r="M140" t="str">
        <f t="shared" si="10"/>
        <v>M11</v>
      </c>
      <c r="N140" t="str">
        <f t="shared" si="11"/>
        <v>Bokey Orda District</v>
      </c>
    </row>
    <row r="141" spans="1:14" x14ac:dyDescent="0.25">
      <c r="A141" t="s">
        <v>140</v>
      </c>
      <c r="D141" t="str">
        <f t="shared" si="8"/>
        <v>N05</v>
      </c>
      <c r="E141" t="str">
        <f t="shared" si="9"/>
        <v>Arysskiy</v>
      </c>
      <c r="J141" t="s">
        <v>352</v>
      </c>
      <c r="M141" t="str">
        <f t="shared" si="10"/>
        <v>M12</v>
      </c>
      <c r="N141" t="str">
        <f t="shared" si="11"/>
        <v>Zhangala District</v>
      </c>
    </row>
    <row r="142" spans="1:14" x14ac:dyDescent="0.25">
      <c r="A142" t="s">
        <v>141</v>
      </c>
      <c r="D142" t="str">
        <f t="shared" si="8"/>
        <v>N06</v>
      </c>
      <c r="E142" t="str">
        <f t="shared" si="9"/>
        <v>Sairamskiy</v>
      </c>
      <c r="J142" t="s">
        <v>353</v>
      </c>
      <c r="M142" t="str">
        <f t="shared" si="10"/>
        <v>M13</v>
      </c>
      <c r="N142" t="str">
        <f t="shared" si="11"/>
        <v>Oral City Administra</v>
      </c>
    </row>
    <row r="143" spans="1:14" x14ac:dyDescent="0.25">
      <c r="A143" t="s">
        <v>142</v>
      </c>
      <c r="D143" t="str">
        <f t="shared" si="8"/>
        <v>N07</v>
      </c>
      <c r="E143" t="str">
        <f t="shared" si="9"/>
        <v>Tyul'kubasskiy</v>
      </c>
      <c r="J143" t="s">
        <v>354</v>
      </c>
      <c r="M143" t="str">
        <f t="shared" si="10"/>
        <v>N01</v>
      </c>
      <c r="N143" t="str">
        <f t="shared" si="11"/>
        <v>Suzak District</v>
      </c>
    </row>
    <row r="144" spans="1:14" x14ac:dyDescent="0.25">
      <c r="A144" t="s">
        <v>143</v>
      </c>
      <c r="D144" t="str">
        <f t="shared" si="8"/>
        <v>N08</v>
      </c>
      <c r="E144" t="str">
        <f t="shared" si="9"/>
        <v>Tolebiyskiy</v>
      </c>
      <c r="J144" t="s">
        <v>355</v>
      </c>
      <c r="M144" t="str">
        <f t="shared" si="10"/>
        <v>N02</v>
      </c>
      <c r="N144" t="str">
        <f t="shared" si="11"/>
        <v>Baidibek District</v>
      </c>
    </row>
    <row r="145" spans="1:14" x14ac:dyDescent="0.25">
      <c r="A145" t="s">
        <v>144</v>
      </c>
      <c r="D145" t="str">
        <f t="shared" si="8"/>
        <v>N09</v>
      </c>
      <c r="E145" t="str">
        <f t="shared" si="9"/>
        <v>Shardarinskiy</v>
      </c>
      <c r="J145" t="s">
        <v>356</v>
      </c>
      <c r="M145" t="str">
        <f t="shared" si="10"/>
        <v>N03</v>
      </c>
      <c r="N145" t="str">
        <f t="shared" si="11"/>
        <v>Otyrar District</v>
      </c>
    </row>
    <row r="146" spans="1:14" x14ac:dyDescent="0.25">
      <c r="A146" t="s">
        <v>145</v>
      </c>
      <c r="D146" t="str">
        <f t="shared" si="8"/>
        <v>N10</v>
      </c>
      <c r="E146" t="str">
        <f t="shared" si="9"/>
        <v>Saryagashskiy</v>
      </c>
      <c r="J146" t="s">
        <v>357</v>
      </c>
      <c r="M146" t="str">
        <f t="shared" si="10"/>
        <v>N04</v>
      </c>
      <c r="N146" t="str">
        <f t="shared" si="11"/>
        <v>Ordabasy District</v>
      </c>
    </row>
    <row r="147" spans="1:14" x14ac:dyDescent="0.25">
      <c r="A147" t="s">
        <v>146</v>
      </c>
      <c r="D147" t="str">
        <f t="shared" si="8"/>
        <v>N11</v>
      </c>
      <c r="E147" t="str">
        <f t="shared" si="9"/>
        <v>Kazygurtskiy</v>
      </c>
      <c r="J147" t="s">
        <v>358</v>
      </c>
      <c r="M147" t="str">
        <f t="shared" si="10"/>
        <v>N05</v>
      </c>
      <c r="N147" t="str">
        <f t="shared" si="11"/>
        <v>Zhetysai District</v>
      </c>
    </row>
    <row r="148" spans="1:14" x14ac:dyDescent="0.25">
      <c r="A148" t="s">
        <v>147</v>
      </c>
      <c r="D148" t="str">
        <f t="shared" si="8"/>
        <v>N12</v>
      </c>
      <c r="E148" t="str">
        <f t="shared" si="9"/>
        <v>Makhtaaral'skiy</v>
      </c>
      <c r="J148" t="s">
        <v>359</v>
      </c>
      <c r="M148" t="str">
        <f t="shared" si="10"/>
        <v>N06</v>
      </c>
      <c r="N148" t="str">
        <f t="shared" si="11"/>
        <v>Sairam District</v>
      </c>
    </row>
    <row r="149" spans="1:14" x14ac:dyDescent="0.25">
      <c r="A149" t="s">
        <v>148</v>
      </c>
      <c r="D149" t="str">
        <f t="shared" si="8"/>
        <v>N13</v>
      </c>
      <c r="E149" t="str">
        <f t="shared" si="9"/>
        <v>Shymkent city</v>
      </c>
      <c r="J149" t="s">
        <v>360</v>
      </c>
      <c r="M149" t="str">
        <f t="shared" si="10"/>
        <v>N07</v>
      </c>
      <c r="N149" t="str">
        <f t="shared" si="11"/>
        <v>Tulkibas District</v>
      </c>
    </row>
    <row r="150" spans="1:14" x14ac:dyDescent="0.25">
      <c r="A150" t="s">
        <v>149</v>
      </c>
      <c r="D150" t="str">
        <f t="shared" si="8"/>
        <v>N14</v>
      </c>
      <c r="E150" t="str">
        <f t="shared" si="9"/>
        <v>Kentau town</v>
      </c>
      <c r="J150" t="s">
        <v>361</v>
      </c>
      <c r="M150" t="str">
        <f t="shared" si="10"/>
        <v>N08</v>
      </c>
      <c r="N150" t="str">
        <f t="shared" si="11"/>
        <v>Tolebi District</v>
      </c>
    </row>
    <row r="151" spans="1:14" x14ac:dyDescent="0.25">
      <c r="A151" t="s">
        <v>150</v>
      </c>
      <c r="D151" t="str">
        <f t="shared" si="8"/>
        <v>N15</v>
      </c>
      <c r="E151" t="str">
        <f t="shared" si="9"/>
        <v>Arys' town</v>
      </c>
      <c r="J151" t="s">
        <v>362</v>
      </c>
      <c r="M151" t="str">
        <f t="shared" si="10"/>
        <v>N09</v>
      </c>
      <c r="N151" t="str">
        <f t="shared" si="11"/>
        <v>Shardara District</v>
      </c>
    </row>
    <row r="152" spans="1:14" x14ac:dyDescent="0.25">
      <c r="A152" t="s">
        <v>151</v>
      </c>
      <c r="D152" t="str">
        <f t="shared" si="8"/>
        <v>N16</v>
      </c>
      <c r="E152" t="str">
        <f t="shared" si="9"/>
        <v>Turkestan town</v>
      </c>
      <c r="J152" t="s">
        <v>363</v>
      </c>
      <c r="M152" t="str">
        <f t="shared" si="10"/>
        <v>N10</v>
      </c>
      <c r="N152" t="str">
        <f t="shared" si="11"/>
        <v>Saryagash District</v>
      </c>
    </row>
    <row r="153" spans="1:14" x14ac:dyDescent="0.25">
      <c r="A153" t="s">
        <v>152</v>
      </c>
      <c r="D153" t="str">
        <f t="shared" si="8"/>
        <v>O01</v>
      </c>
      <c r="E153" t="str">
        <f t="shared" si="9"/>
        <v>Inderskiy</v>
      </c>
      <c r="J153" t="s">
        <v>364</v>
      </c>
      <c r="M153" t="str">
        <f t="shared" si="10"/>
        <v>N11</v>
      </c>
      <c r="N153" t="str">
        <f t="shared" si="11"/>
        <v>Kazygurt District</v>
      </c>
    </row>
    <row r="154" spans="1:14" x14ac:dyDescent="0.25">
      <c r="A154" t="s">
        <v>153</v>
      </c>
      <c r="D154" t="str">
        <f t="shared" si="8"/>
        <v>O02</v>
      </c>
      <c r="E154" t="str">
        <f t="shared" si="9"/>
        <v>Kzyloginskiy</v>
      </c>
      <c r="J154" t="s">
        <v>365</v>
      </c>
      <c r="M154" t="str">
        <f t="shared" si="10"/>
        <v>N12</v>
      </c>
      <c r="N154" t="str">
        <f t="shared" si="11"/>
        <v>Maktaaral District</v>
      </c>
    </row>
    <row r="155" spans="1:14" x14ac:dyDescent="0.25">
      <c r="A155" t="s">
        <v>154</v>
      </c>
      <c r="D155" t="str">
        <f t="shared" si="8"/>
        <v>O03</v>
      </c>
      <c r="E155" t="str">
        <f t="shared" si="9"/>
        <v>Kurmangazinskiy</v>
      </c>
      <c r="J155" t="s">
        <v>366</v>
      </c>
      <c r="M155" t="str">
        <f t="shared" si="10"/>
        <v>N13</v>
      </c>
      <c r="N155" t="str">
        <f t="shared" si="11"/>
        <v>Sauran District</v>
      </c>
    </row>
    <row r="156" spans="1:14" x14ac:dyDescent="0.25">
      <c r="A156" t="s">
        <v>155</v>
      </c>
      <c r="D156" t="str">
        <f t="shared" si="8"/>
        <v>O04</v>
      </c>
      <c r="E156" t="str">
        <f t="shared" si="9"/>
        <v>Isataiyskiy</v>
      </c>
      <c r="J156" t="s">
        <v>367</v>
      </c>
      <c r="M156" t="str">
        <f t="shared" si="10"/>
        <v>N14</v>
      </c>
      <c r="N156" t="str">
        <f t="shared" si="11"/>
        <v>Kentau City Administ</v>
      </c>
    </row>
    <row r="157" spans="1:14" x14ac:dyDescent="0.25">
      <c r="A157" t="s">
        <v>156</v>
      </c>
      <c r="D157" t="str">
        <f t="shared" si="8"/>
        <v>O05</v>
      </c>
      <c r="E157" t="str">
        <f t="shared" si="9"/>
        <v>Makhambetskiy</v>
      </c>
      <c r="J157" t="s">
        <v>368</v>
      </c>
      <c r="M157" t="str">
        <f t="shared" si="10"/>
        <v>N15</v>
      </c>
      <c r="N157" t="str">
        <f t="shared" si="11"/>
        <v>Arys City Administra</v>
      </c>
    </row>
    <row r="158" spans="1:14" x14ac:dyDescent="0.25">
      <c r="A158" t="s">
        <v>157</v>
      </c>
      <c r="D158" t="str">
        <f t="shared" si="8"/>
        <v>O06</v>
      </c>
      <c r="E158" t="str">
        <f t="shared" si="9"/>
        <v>Makatskiy</v>
      </c>
      <c r="J158" t="s">
        <v>369</v>
      </c>
      <c r="M158" t="str">
        <f t="shared" si="10"/>
        <v>N16</v>
      </c>
      <c r="N158" t="str">
        <f t="shared" si="11"/>
        <v>Turkistan City Admin</v>
      </c>
    </row>
    <row r="159" spans="1:14" x14ac:dyDescent="0.25">
      <c r="A159" t="s">
        <v>158</v>
      </c>
      <c r="D159" t="str">
        <f t="shared" si="8"/>
        <v>O07</v>
      </c>
      <c r="E159" t="str">
        <f t="shared" si="9"/>
        <v>Zhylyoiyskiy</v>
      </c>
      <c r="J159" t="s">
        <v>370</v>
      </c>
      <c r="M159" t="str">
        <f t="shared" si="10"/>
        <v>N17</v>
      </c>
      <c r="N159" t="str">
        <f t="shared" si="11"/>
        <v>Keles District</v>
      </c>
    </row>
    <row r="160" spans="1:14" x14ac:dyDescent="0.25">
      <c r="A160" t="s">
        <v>159</v>
      </c>
      <c r="D160" t="str">
        <f t="shared" si="8"/>
        <v>O08</v>
      </c>
      <c r="E160" t="str">
        <f t="shared" si="9"/>
        <v>Atyrau city</v>
      </c>
      <c r="J160" t="s">
        <v>371</v>
      </c>
      <c r="M160" t="str">
        <f t="shared" si="10"/>
        <v>N18</v>
      </c>
      <c r="N160" t="str">
        <f t="shared" si="11"/>
        <v>Shymkent. Abai Distr</v>
      </c>
    </row>
    <row r="161" spans="1:14" x14ac:dyDescent="0.25">
      <c r="A161" t="s">
        <v>160</v>
      </c>
      <c r="D161" t="str">
        <f t="shared" si="8"/>
        <v>P01</v>
      </c>
      <c r="E161" t="str">
        <f t="shared" si="9"/>
        <v>Osakarovskiy</v>
      </c>
      <c r="J161" t="s">
        <v>372</v>
      </c>
      <c r="M161" t="str">
        <f t="shared" si="10"/>
        <v>N19</v>
      </c>
      <c r="N161" t="str">
        <f t="shared" si="11"/>
        <v xml:space="preserve">Shymkent. Al-Farabi </v>
      </c>
    </row>
    <row r="162" spans="1:14" x14ac:dyDescent="0.25">
      <c r="A162" t="s">
        <v>161</v>
      </c>
      <c r="D162" t="str">
        <f t="shared" si="8"/>
        <v>P02</v>
      </c>
      <c r="E162" t="str">
        <f t="shared" si="9"/>
        <v>Nurinskiy</v>
      </c>
      <c r="J162" t="s">
        <v>373</v>
      </c>
      <c r="M162" t="str">
        <f t="shared" si="10"/>
        <v>N20</v>
      </c>
      <c r="N162" t="str">
        <f t="shared" si="11"/>
        <v>Shymkent. Enbekshi D</v>
      </c>
    </row>
    <row r="163" spans="1:14" x14ac:dyDescent="0.25">
      <c r="A163" t="s">
        <v>162</v>
      </c>
      <c r="D163" t="str">
        <f t="shared" si="8"/>
        <v>P03</v>
      </c>
      <c r="E163" t="str">
        <f t="shared" si="9"/>
        <v>Bukhar-Zhyrauskiy</v>
      </c>
      <c r="J163" t="s">
        <v>374</v>
      </c>
      <c r="M163" t="str">
        <f t="shared" si="10"/>
        <v>N21</v>
      </c>
      <c r="N163" t="str">
        <f t="shared" si="11"/>
        <v>Shymkent. Karatau Di</v>
      </c>
    </row>
    <row r="164" spans="1:14" x14ac:dyDescent="0.25">
      <c r="A164" t="s">
        <v>163</v>
      </c>
      <c r="D164" t="str">
        <f t="shared" si="8"/>
        <v>P04</v>
      </c>
      <c r="E164" t="str">
        <f t="shared" si="9"/>
        <v>Abayskiy</v>
      </c>
      <c r="J164" t="s">
        <v>375</v>
      </c>
      <c r="M164" t="str">
        <f t="shared" si="10"/>
        <v>N22</v>
      </c>
      <c r="N164" t="str">
        <f t="shared" si="11"/>
        <v>Shymkent. Turan Dist</v>
      </c>
    </row>
    <row r="165" spans="1:14" x14ac:dyDescent="0.25">
      <c r="A165" t="s">
        <v>164</v>
      </c>
      <c r="D165" t="str">
        <f t="shared" si="8"/>
        <v>P05</v>
      </c>
      <c r="E165" t="str">
        <f t="shared" si="9"/>
        <v>Karkaralinskiy</v>
      </c>
      <c r="J165" t="s">
        <v>376</v>
      </c>
      <c r="M165" t="str">
        <f t="shared" si="10"/>
        <v>O01</v>
      </c>
      <c r="N165" t="str">
        <f t="shared" si="11"/>
        <v>Inder District</v>
      </c>
    </row>
    <row r="166" spans="1:14" x14ac:dyDescent="0.25">
      <c r="A166" t="s">
        <v>165</v>
      </c>
      <c r="D166" t="str">
        <f t="shared" si="8"/>
        <v>P06</v>
      </c>
      <c r="E166" t="str">
        <f t="shared" si="9"/>
        <v>Ulytauskiy</v>
      </c>
      <c r="J166" t="s">
        <v>377</v>
      </c>
      <c r="M166" t="str">
        <f t="shared" si="10"/>
        <v>O02</v>
      </c>
      <c r="N166" t="str">
        <f t="shared" si="11"/>
        <v>Kyzylkoga District</v>
      </c>
    </row>
    <row r="167" spans="1:14" x14ac:dyDescent="0.25">
      <c r="A167" t="s">
        <v>166</v>
      </c>
      <c r="D167" t="str">
        <f t="shared" si="8"/>
        <v>P07</v>
      </c>
      <c r="E167" t="str">
        <f t="shared" si="9"/>
        <v>Zhanaarkinskiy</v>
      </c>
      <c r="J167" t="s">
        <v>378</v>
      </c>
      <c r="M167" t="str">
        <f t="shared" si="10"/>
        <v>O03</v>
      </c>
      <c r="N167" t="str">
        <f t="shared" si="11"/>
        <v>Kurmangazy District</v>
      </c>
    </row>
    <row r="168" spans="1:14" x14ac:dyDescent="0.25">
      <c r="A168" t="s">
        <v>167</v>
      </c>
      <c r="D168" t="str">
        <f t="shared" si="8"/>
        <v>P08</v>
      </c>
      <c r="E168" t="str">
        <f t="shared" si="9"/>
        <v>Shetskiy</v>
      </c>
      <c r="J168" t="s">
        <v>379</v>
      </c>
      <c r="M168" t="str">
        <f t="shared" si="10"/>
        <v>O04</v>
      </c>
      <c r="N168" t="str">
        <f t="shared" si="11"/>
        <v>Isatai District</v>
      </c>
    </row>
    <row r="169" spans="1:14" x14ac:dyDescent="0.25">
      <c r="A169" t="s">
        <v>168</v>
      </c>
      <c r="D169" t="str">
        <f t="shared" si="8"/>
        <v>P09</v>
      </c>
      <c r="E169" t="str">
        <f t="shared" si="9"/>
        <v>Aktogaiyskiy</v>
      </c>
      <c r="J169" t="s">
        <v>380</v>
      </c>
      <c r="M169" t="str">
        <f t="shared" si="10"/>
        <v>O05</v>
      </c>
      <c r="N169" t="str">
        <f t="shared" si="11"/>
        <v>Makhambet District</v>
      </c>
    </row>
    <row r="170" spans="1:14" x14ac:dyDescent="0.25">
      <c r="A170" t="s">
        <v>169</v>
      </c>
      <c r="D170" t="str">
        <f t="shared" si="8"/>
        <v>P10</v>
      </c>
      <c r="E170" t="str">
        <f t="shared" si="9"/>
        <v>Karagandy city</v>
      </c>
      <c r="J170" t="s">
        <v>381</v>
      </c>
      <c r="M170" t="str">
        <f t="shared" si="10"/>
        <v>O06</v>
      </c>
      <c r="N170" t="str">
        <f t="shared" si="11"/>
        <v>Makat District</v>
      </c>
    </row>
    <row r="171" spans="1:14" x14ac:dyDescent="0.25">
      <c r="A171" t="s">
        <v>170</v>
      </c>
      <c r="D171" t="str">
        <f t="shared" si="8"/>
        <v>P11</v>
      </c>
      <c r="E171" t="str">
        <f t="shared" si="9"/>
        <v>Balkhash town</v>
      </c>
      <c r="J171" t="s">
        <v>382</v>
      </c>
      <c r="M171" t="str">
        <f t="shared" si="10"/>
        <v>O07</v>
      </c>
      <c r="N171" t="str">
        <f t="shared" si="11"/>
        <v>Zhylyoi District</v>
      </c>
    </row>
    <row r="172" spans="1:14" x14ac:dyDescent="0.25">
      <c r="A172" t="s">
        <v>171</v>
      </c>
      <c r="D172" t="str">
        <f t="shared" si="8"/>
        <v>P12</v>
      </c>
      <c r="E172" t="str">
        <f t="shared" si="9"/>
        <v>Zhezkazgan city</v>
      </c>
      <c r="J172" t="s">
        <v>383</v>
      </c>
      <c r="M172" t="str">
        <f t="shared" si="10"/>
        <v>O08</v>
      </c>
      <c r="N172" t="str">
        <f t="shared" si="11"/>
        <v>Atyrau City Administ</v>
      </c>
    </row>
    <row r="173" spans="1:14" x14ac:dyDescent="0.25">
      <c r="A173" t="s">
        <v>172</v>
      </c>
      <c r="D173" t="str">
        <f t="shared" si="8"/>
        <v>P13</v>
      </c>
      <c r="E173" t="str">
        <f t="shared" si="9"/>
        <v>Karazhal town</v>
      </c>
      <c r="J173" t="s">
        <v>384</v>
      </c>
      <c r="M173" t="str">
        <f t="shared" si="10"/>
        <v>P01</v>
      </c>
      <c r="N173" t="str">
        <f t="shared" si="11"/>
        <v>Osakarov District</v>
      </c>
    </row>
    <row r="174" spans="1:14" x14ac:dyDescent="0.25">
      <c r="A174" t="s">
        <v>173</v>
      </c>
      <c r="D174" t="str">
        <f t="shared" si="8"/>
        <v>P14</v>
      </c>
      <c r="E174" t="str">
        <f t="shared" si="9"/>
        <v>Priozersk town</v>
      </c>
      <c r="J174" t="s">
        <v>385</v>
      </c>
      <c r="M174" t="str">
        <f t="shared" si="10"/>
        <v>P02</v>
      </c>
      <c r="N174" t="str">
        <f t="shared" si="11"/>
        <v>Nura District</v>
      </c>
    </row>
    <row r="175" spans="1:14" x14ac:dyDescent="0.25">
      <c r="A175" t="s">
        <v>174</v>
      </c>
      <c r="D175" t="str">
        <f t="shared" si="8"/>
        <v>P15</v>
      </c>
      <c r="E175" t="str">
        <f t="shared" si="9"/>
        <v>Saran town</v>
      </c>
      <c r="J175" t="s">
        <v>386</v>
      </c>
      <c r="M175" t="str">
        <f t="shared" si="10"/>
        <v>P03</v>
      </c>
      <c r="N175" t="str">
        <f t="shared" si="11"/>
        <v>Bukhar-Zhyrau Distri</v>
      </c>
    </row>
    <row r="176" spans="1:14" x14ac:dyDescent="0.25">
      <c r="A176" t="s">
        <v>175</v>
      </c>
      <c r="D176" t="str">
        <f t="shared" si="8"/>
        <v>P16</v>
      </c>
      <c r="E176" t="str">
        <f t="shared" si="9"/>
        <v>Satpaev town</v>
      </c>
      <c r="J176" t="s">
        <v>387</v>
      </c>
      <c r="M176" t="str">
        <f t="shared" si="10"/>
        <v>P04</v>
      </c>
      <c r="N176" t="str">
        <f t="shared" si="11"/>
        <v>Abai District</v>
      </c>
    </row>
    <row r="177" spans="1:14" x14ac:dyDescent="0.25">
      <c r="A177" t="s">
        <v>176</v>
      </c>
      <c r="D177" t="str">
        <f t="shared" si="8"/>
        <v>P17</v>
      </c>
      <c r="E177" t="str">
        <f t="shared" si="9"/>
        <v>Temirtau town</v>
      </c>
      <c r="J177" t="s">
        <v>388</v>
      </c>
      <c r="M177" t="str">
        <f t="shared" si="10"/>
        <v>P05</v>
      </c>
      <c r="N177" t="str">
        <f t="shared" si="11"/>
        <v>Karkaraly District</v>
      </c>
    </row>
    <row r="178" spans="1:14" x14ac:dyDescent="0.25">
      <c r="A178" t="s">
        <v>177</v>
      </c>
      <c r="D178" t="str">
        <f t="shared" si="8"/>
        <v>P18</v>
      </c>
      <c r="E178" t="str">
        <f t="shared" si="9"/>
        <v>Shakhtinsk town</v>
      </c>
      <c r="J178" t="s">
        <v>389</v>
      </c>
      <c r="M178" t="str">
        <f t="shared" si="10"/>
        <v>P06</v>
      </c>
      <c r="N178" t="str">
        <f t="shared" si="11"/>
        <v>Karaganda. Alikhan B</v>
      </c>
    </row>
    <row r="179" spans="1:14" x14ac:dyDescent="0.25">
      <c r="A179" t="s">
        <v>178</v>
      </c>
      <c r="D179" t="str">
        <f t="shared" si="8"/>
        <v>Q01</v>
      </c>
      <c r="E179" t="str">
        <f t="shared" si="9"/>
        <v>Alakol'skiy</v>
      </c>
      <c r="J179" t="s">
        <v>390</v>
      </c>
      <c r="M179" t="str">
        <f t="shared" si="10"/>
        <v>P07</v>
      </c>
      <c r="N179" t="str">
        <f t="shared" si="11"/>
        <v>Karaganda. Kazybek B</v>
      </c>
    </row>
    <row r="180" spans="1:14" x14ac:dyDescent="0.25">
      <c r="A180" t="s">
        <v>179</v>
      </c>
      <c r="D180" t="str">
        <f t="shared" si="8"/>
        <v>Q02</v>
      </c>
      <c r="E180" t="str">
        <f t="shared" si="9"/>
        <v>Balkhashskiy</v>
      </c>
      <c r="J180" t="s">
        <v>391</v>
      </c>
      <c r="M180" t="str">
        <f t="shared" si="10"/>
        <v>P08</v>
      </c>
      <c r="N180" t="str">
        <f t="shared" si="11"/>
        <v>Shet District</v>
      </c>
    </row>
    <row r="181" spans="1:14" x14ac:dyDescent="0.25">
      <c r="A181" t="s">
        <v>180</v>
      </c>
      <c r="D181" t="str">
        <f t="shared" si="8"/>
        <v>Q03</v>
      </c>
      <c r="E181" t="str">
        <f t="shared" si="9"/>
        <v>Karatal'skiy</v>
      </c>
      <c r="J181" t="s">
        <v>392</v>
      </c>
      <c r="M181" t="str">
        <f t="shared" si="10"/>
        <v>P09</v>
      </c>
      <c r="N181" t="str">
        <f t="shared" si="11"/>
        <v>Aktogay District</v>
      </c>
    </row>
    <row r="182" spans="1:14" x14ac:dyDescent="0.25">
      <c r="A182" t="s">
        <v>181</v>
      </c>
      <c r="D182" t="str">
        <f t="shared" si="8"/>
        <v>Q04</v>
      </c>
      <c r="E182" t="str">
        <f t="shared" si="9"/>
        <v>Aksuiyskiy</v>
      </c>
      <c r="J182" t="s">
        <v>393</v>
      </c>
      <c r="M182" t="str">
        <f t="shared" si="10"/>
        <v>P10</v>
      </c>
      <c r="N182" t="str">
        <f t="shared" si="11"/>
        <v>Priozersk City Admin</v>
      </c>
    </row>
    <row r="183" spans="1:14" x14ac:dyDescent="0.25">
      <c r="A183" t="s">
        <v>182</v>
      </c>
      <c r="D183" t="str">
        <f t="shared" si="8"/>
        <v>Q05</v>
      </c>
      <c r="E183" t="str">
        <f t="shared" si="9"/>
        <v>Sarkandskiy</v>
      </c>
      <c r="J183" t="s">
        <v>394</v>
      </c>
      <c r="M183" t="str">
        <f t="shared" si="10"/>
        <v>P11</v>
      </c>
      <c r="N183" t="str">
        <f t="shared" si="11"/>
        <v>Balkhash City Admini</v>
      </c>
    </row>
    <row r="184" spans="1:14" x14ac:dyDescent="0.25">
      <c r="A184" t="s">
        <v>183</v>
      </c>
      <c r="D184" t="str">
        <f t="shared" si="8"/>
        <v>Q06</v>
      </c>
      <c r="E184" t="str">
        <f t="shared" si="9"/>
        <v>Koksuskiy</v>
      </c>
      <c r="J184" t="s">
        <v>395</v>
      </c>
      <c r="M184" t="str">
        <f t="shared" si="10"/>
        <v>P12</v>
      </c>
      <c r="N184" t="str">
        <f t="shared" si="11"/>
        <v>Saran City Administr</v>
      </c>
    </row>
    <row r="185" spans="1:14" x14ac:dyDescent="0.25">
      <c r="A185" t="s">
        <v>184</v>
      </c>
      <c r="D185" t="str">
        <f t="shared" si="8"/>
        <v>Q07</v>
      </c>
      <c r="E185" t="str">
        <f t="shared" si="9"/>
        <v>Eskel'dinskiy</v>
      </c>
      <c r="J185" t="s">
        <v>396</v>
      </c>
      <c r="M185" t="str">
        <f t="shared" si="10"/>
        <v>P13</v>
      </c>
      <c r="N185" t="str">
        <f t="shared" si="11"/>
        <v>Temirtau City Admini</v>
      </c>
    </row>
    <row r="186" spans="1:14" x14ac:dyDescent="0.25">
      <c r="A186" t="s">
        <v>185</v>
      </c>
      <c r="D186" t="str">
        <f t="shared" si="8"/>
        <v>Q08</v>
      </c>
      <c r="E186" t="str">
        <f t="shared" si="9"/>
        <v>Kerbulakskiy</v>
      </c>
      <c r="J186" t="s">
        <v>397</v>
      </c>
      <c r="M186" t="str">
        <f t="shared" si="10"/>
        <v>P14</v>
      </c>
      <c r="N186" t="str">
        <f t="shared" si="11"/>
        <v>Shakhtinsk City Admi</v>
      </c>
    </row>
    <row r="187" spans="1:14" x14ac:dyDescent="0.25">
      <c r="A187" t="s">
        <v>186</v>
      </c>
      <c r="D187" t="str">
        <f t="shared" si="8"/>
        <v>Q09</v>
      </c>
      <c r="E187" t="str">
        <f t="shared" si="9"/>
        <v>Panfilovskiy</v>
      </c>
      <c r="J187" t="s">
        <v>398</v>
      </c>
      <c r="M187" t="str">
        <f t="shared" si="10"/>
        <v>Q01</v>
      </c>
      <c r="N187" t="str">
        <f t="shared" si="11"/>
        <v>Balkhash District</v>
      </c>
    </row>
    <row r="188" spans="1:14" x14ac:dyDescent="0.25">
      <c r="A188" t="s">
        <v>187</v>
      </c>
      <c r="D188" t="str">
        <f t="shared" si="8"/>
        <v>Q10</v>
      </c>
      <c r="E188" t="str">
        <f t="shared" si="9"/>
        <v>Zhambyl'skiy</v>
      </c>
      <c r="J188" t="s">
        <v>399</v>
      </c>
      <c r="M188" t="str">
        <f t="shared" si="10"/>
        <v>Q02</v>
      </c>
      <c r="N188" t="str">
        <f t="shared" si="11"/>
        <v>Enbekshikazakh Distr</v>
      </c>
    </row>
    <row r="189" spans="1:14" x14ac:dyDescent="0.25">
      <c r="A189" t="s">
        <v>188</v>
      </c>
      <c r="D189" t="str">
        <f t="shared" si="8"/>
        <v>Q11</v>
      </c>
      <c r="E189" t="str">
        <f t="shared" si="9"/>
        <v>Iliyskiy</v>
      </c>
      <c r="J189" t="s">
        <v>400</v>
      </c>
      <c r="M189" t="str">
        <f t="shared" si="10"/>
        <v>Q03</v>
      </c>
      <c r="N189" t="str">
        <f t="shared" si="11"/>
        <v>Zhambyl District</v>
      </c>
    </row>
    <row r="190" spans="1:14" x14ac:dyDescent="0.25">
      <c r="A190" t="s">
        <v>189</v>
      </c>
      <c r="D190" t="str">
        <f t="shared" si="8"/>
        <v>Q12</v>
      </c>
      <c r="E190" t="str">
        <f t="shared" si="9"/>
        <v>Karasaiyskiy</v>
      </c>
      <c r="J190" t="s">
        <v>401</v>
      </c>
      <c r="M190" t="str">
        <f t="shared" si="10"/>
        <v>Q04</v>
      </c>
      <c r="N190" t="str">
        <f t="shared" si="11"/>
        <v>Kegen District</v>
      </c>
    </row>
    <row r="191" spans="1:14" x14ac:dyDescent="0.25">
      <c r="A191" t="s">
        <v>190</v>
      </c>
      <c r="D191" t="str">
        <f t="shared" si="8"/>
        <v>Q13</v>
      </c>
      <c r="E191" t="str">
        <f t="shared" si="9"/>
        <v>Talgarskiy</v>
      </c>
      <c r="J191" t="s">
        <v>402</v>
      </c>
      <c r="M191" t="str">
        <f t="shared" si="10"/>
        <v>Q05</v>
      </c>
      <c r="N191" t="str">
        <f t="shared" si="11"/>
        <v>Karasai District</v>
      </c>
    </row>
    <row r="192" spans="1:14" x14ac:dyDescent="0.25">
      <c r="A192" t="s">
        <v>191</v>
      </c>
      <c r="D192" t="str">
        <f t="shared" si="8"/>
        <v>Q14</v>
      </c>
      <c r="E192" t="str">
        <f t="shared" si="9"/>
        <v>Enbekshikazakhskiy</v>
      </c>
      <c r="J192" t="s">
        <v>403</v>
      </c>
      <c r="M192" t="str">
        <f t="shared" si="10"/>
        <v>Q06</v>
      </c>
      <c r="N192" t="str">
        <f t="shared" si="11"/>
        <v>Raimbek District</v>
      </c>
    </row>
    <row r="193" spans="1:14" x14ac:dyDescent="0.25">
      <c r="A193" t="s">
        <v>192</v>
      </c>
      <c r="D193" t="str">
        <f t="shared" si="8"/>
        <v>Q15</v>
      </c>
      <c r="E193" t="str">
        <f t="shared" si="9"/>
        <v>Uiygurskiy</v>
      </c>
      <c r="J193" t="s">
        <v>404</v>
      </c>
      <c r="M193" t="str">
        <f t="shared" si="10"/>
        <v>Q07</v>
      </c>
      <c r="N193" t="str">
        <f t="shared" si="11"/>
        <v>Talgar District</v>
      </c>
    </row>
    <row r="194" spans="1:14" x14ac:dyDescent="0.25">
      <c r="A194" t="s">
        <v>193</v>
      </c>
      <c r="D194" t="str">
        <f t="shared" ref="D194:D212" si="12">LEFT(A194,3)</f>
        <v>Q16</v>
      </c>
      <c r="E194" t="str">
        <f t="shared" ref="E194:E212" si="13">MID(A194,5,20)</f>
        <v>Raiyimbekskiy</v>
      </c>
      <c r="J194" t="s">
        <v>405</v>
      </c>
      <c r="M194" t="str">
        <f t="shared" ref="M194:M231" si="14">LEFT(J194,3)</f>
        <v>Q08</v>
      </c>
      <c r="N194" t="str">
        <f t="shared" ref="N194:N231" si="15">MID(J194,5,20)</f>
        <v>Uighur District</v>
      </c>
    </row>
    <row r="195" spans="1:14" x14ac:dyDescent="0.25">
      <c r="A195" t="s">
        <v>194</v>
      </c>
      <c r="D195" t="str">
        <f t="shared" si="12"/>
        <v>Q17</v>
      </c>
      <c r="E195" t="str">
        <f t="shared" si="13"/>
        <v>Taldykorgan city</v>
      </c>
      <c r="J195" t="s">
        <v>406</v>
      </c>
      <c r="M195" t="str">
        <f t="shared" si="14"/>
        <v>Q09</v>
      </c>
      <c r="N195" t="str">
        <f t="shared" si="15"/>
        <v>Ili District</v>
      </c>
    </row>
    <row r="196" spans="1:14" x14ac:dyDescent="0.25">
      <c r="A196" t="s">
        <v>195</v>
      </c>
      <c r="D196" t="str">
        <f t="shared" si="12"/>
        <v>Q18</v>
      </c>
      <c r="E196" t="str">
        <f t="shared" si="13"/>
        <v>Kapchagay town</v>
      </c>
      <c r="J196" t="s">
        <v>407</v>
      </c>
      <c r="M196" t="str">
        <f t="shared" si="14"/>
        <v>Q10</v>
      </c>
      <c r="N196" t="str">
        <f t="shared" si="15"/>
        <v>Qonaev City Administ</v>
      </c>
    </row>
    <row r="197" spans="1:14" x14ac:dyDescent="0.25">
      <c r="A197" t="s">
        <v>196</v>
      </c>
      <c r="D197" t="str">
        <f t="shared" si="12"/>
        <v>Q19</v>
      </c>
      <c r="E197" t="str">
        <f t="shared" si="13"/>
        <v>Tekeli town</v>
      </c>
      <c r="J197" t="s">
        <v>408</v>
      </c>
      <c r="M197" t="str">
        <f t="shared" si="14"/>
        <v>Q11</v>
      </c>
      <c r="N197" t="str">
        <f t="shared" si="15"/>
        <v>Alatau City Administ</v>
      </c>
    </row>
    <row r="198" spans="1:14" x14ac:dyDescent="0.25">
      <c r="A198" t="s">
        <v>197</v>
      </c>
      <c r="D198" t="str">
        <f t="shared" si="12"/>
        <v>T01</v>
      </c>
      <c r="E198" t="str">
        <f t="shared" si="13"/>
        <v>Sarysuskiy</v>
      </c>
      <c r="J198" t="s">
        <v>409</v>
      </c>
      <c r="M198" t="str">
        <f t="shared" si="14"/>
        <v>R01</v>
      </c>
      <c r="N198" t="str">
        <f t="shared" si="15"/>
        <v>Zhanaarka District</v>
      </c>
    </row>
    <row r="199" spans="1:14" x14ac:dyDescent="0.25">
      <c r="A199" t="s">
        <v>198</v>
      </c>
      <c r="D199" t="str">
        <f t="shared" si="12"/>
        <v>T02</v>
      </c>
      <c r="E199" t="str">
        <f t="shared" si="13"/>
        <v>Moiynkumskiy</v>
      </c>
      <c r="J199" t="s">
        <v>410</v>
      </c>
      <c r="M199" t="str">
        <f t="shared" si="14"/>
        <v>R02</v>
      </c>
      <c r="N199" t="str">
        <f t="shared" si="15"/>
        <v>Ulytau District</v>
      </c>
    </row>
    <row r="200" spans="1:14" x14ac:dyDescent="0.25">
      <c r="A200" t="s">
        <v>199</v>
      </c>
      <c r="D200" t="str">
        <f t="shared" si="12"/>
        <v>T03</v>
      </c>
      <c r="E200" t="str">
        <f t="shared" si="13"/>
        <v>Talasskiy</v>
      </c>
      <c r="J200" t="s">
        <v>411</v>
      </c>
      <c r="M200" t="str">
        <f t="shared" si="14"/>
        <v>R03</v>
      </c>
      <c r="N200" t="str">
        <f t="shared" si="15"/>
        <v>Zhezkazgan City Admi</v>
      </c>
    </row>
    <row r="201" spans="1:14" x14ac:dyDescent="0.25">
      <c r="A201" t="s">
        <v>200</v>
      </c>
      <c r="D201" t="str">
        <f t="shared" si="12"/>
        <v>T04</v>
      </c>
      <c r="E201" t="str">
        <f t="shared" si="13"/>
        <v>Bayzakskiy</v>
      </c>
      <c r="J201" t="s">
        <v>412</v>
      </c>
      <c r="M201" t="str">
        <f t="shared" si="14"/>
        <v>R04</v>
      </c>
      <c r="N201" t="str">
        <f t="shared" si="15"/>
        <v>Karazhal City Admini</v>
      </c>
    </row>
    <row r="202" spans="1:14" x14ac:dyDescent="0.25">
      <c r="A202" t="s">
        <v>201</v>
      </c>
      <c r="D202" t="str">
        <f t="shared" si="12"/>
        <v>T05</v>
      </c>
      <c r="E202" t="str">
        <f t="shared" si="13"/>
        <v>Turara Ryskulova</v>
      </c>
      <c r="J202" t="s">
        <v>413</v>
      </c>
      <c r="M202" t="str">
        <f t="shared" si="14"/>
        <v>R05</v>
      </c>
      <c r="N202" t="str">
        <f t="shared" si="15"/>
        <v>Satpayev City Admini</v>
      </c>
    </row>
    <row r="203" spans="1:14" x14ac:dyDescent="0.25">
      <c r="A203" t="s">
        <v>202</v>
      </c>
      <c r="D203" t="str">
        <f t="shared" si="12"/>
        <v>T06</v>
      </c>
      <c r="E203" t="str">
        <f t="shared" si="13"/>
        <v>Merkenskiy</v>
      </c>
      <c r="J203" t="s">
        <v>414</v>
      </c>
      <c r="M203" t="str">
        <f t="shared" si="14"/>
        <v>S01</v>
      </c>
      <c r="N203" t="str">
        <f t="shared" si="15"/>
        <v>Baikonur City Admini</v>
      </c>
    </row>
    <row r="204" spans="1:14" x14ac:dyDescent="0.25">
      <c r="A204" t="s">
        <v>203</v>
      </c>
      <c r="D204" t="str">
        <f t="shared" si="12"/>
        <v>T07</v>
      </c>
      <c r="E204" t="str">
        <f t="shared" si="13"/>
        <v>Shuskiy</v>
      </c>
      <c r="J204" t="s">
        <v>415</v>
      </c>
      <c r="M204" t="str">
        <f t="shared" si="14"/>
        <v>T01</v>
      </c>
      <c r="N204" t="str">
        <f t="shared" si="15"/>
        <v>Sarysu District</v>
      </c>
    </row>
    <row r="205" spans="1:14" x14ac:dyDescent="0.25">
      <c r="A205" t="s">
        <v>204</v>
      </c>
      <c r="D205" t="str">
        <f t="shared" si="12"/>
        <v>T08</v>
      </c>
      <c r="E205" t="str">
        <f t="shared" si="13"/>
        <v>Kordaiskiy</v>
      </c>
      <c r="J205" t="s">
        <v>416</v>
      </c>
      <c r="M205" t="str">
        <f t="shared" si="14"/>
        <v>T02</v>
      </c>
      <c r="N205" t="str">
        <f t="shared" si="15"/>
        <v>Moyynkum District</v>
      </c>
    </row>
    <row r="206" spans="1:14" x14ac:dyDescent="0.25">
      <c r="A206" t="s">
        <v>205</v>
      </c>
      <c r="D206" t="str">
        <f t="shared" si="12"/>
        <v>T09</v>
      </c>
      <c r="E206" t="str">
        <f t="shared" si="13"/>
        <v>Zhambyl'skiy</v>
      </c>
      <c r="J206" t="s">
        <v>417</v>
      </c>
      <c r="M206" t="str">
        <f t="shared" si="14"/>
        <v>T03</v>
      </c>
      <c r="N206" t="str">
        <f t="shared" si="15"/>
        <v>Talas District</v>
      </c>
    </row>
    <row r="207" spans="1:14" x14ac:dyDescent="0.25">
      <c r="A207" t="s">
        <v>206</v>
      </c>
      <c r="D207" t="str">
        <f t="shared" si="12"/>
        <v>T10</v>
      </c>
      <c r="E207" t="str">
        <f t="shared" si="13"/>
        <v>Zhualynskiy</v>
      </c>
      <c r="J207" t="s">
        <v>418</v>
      </c>
      <c r="M207" t="str">
        <f t="shared" si="14"/>
        <v>T04</v>
      </c>
      <c r="N207" t="str">
        <f t="shared" si="15"/>
        <v>Baizak District</v>
      </c>
    </row>
    <row r="208" spans="1:14" x14ac:dyDescent="0.25">
      <c r="A208" t="s">
        <v>207</v>
      </c>
      <c r="D208" t="str">
        <f t="shared" si="12"/>
        <v>T11</v>
      </c>
      <c r="E208" t="str">
        <f t="shared" si="13"/>
        <v>Taraz city</v>
      </c>
      <c r="J208" t="s">
        <v>419</v>
      </c>
      <c r="M208" t="str">
        <f t="shared" si="14"/>
        <v>T05</v>
      </c>
      <c r="N208" t="str">
        <f t="shared" si="15"/>
        <v>Turar Ryskulov Distr</v>
      </c>
    </row>
    <row r="209" spans="1:14" x14ac:dyDescent="0.25">
      <c r="A209" t="s">
        <v>208</v>
      </c>
      <c r="D209" t="str">
        <f t="shared" si="12"/>
        <v>Z01</v>
      </c>
      <c r="E209" t="str">
        <f t="shared" si="13"/>
        <v>Almatynskiy</v>
      </c>
      <c r="J209" t="s">
        <v>420</v>
      </c>
      <c r="M209" t="str">
        <f t="shared" si="14"/>
        <v>T06</v>
      </c>
      <c r="N209" t="str">
        <f t="shared" si="15"/>
        <v>Merke District</v>
      </c>
    </row>
    <row r="210" spans="1:14" x14ac:dyDescent="0.25">
      <c r="A210" t="s">
        <v>209</v>
      </c>
      <c r="D210" t="str">
        <f t="shared" si="12"/>
        <v>Z02</v>
      </c>
      <c r="E210" t="str">
        <f t="shared" si="13"/>
        <v>Esil'skiy</v>
      </c>
      <c r="J210" t="s">
        <v>421</v>
      </c>
      <c r="M210" t="str">
        <f t="shared" si="14"/>
        <v>T07</v>
      </c>
      <c r="N210" t="str">
        <f t="shared" si="15"/>
        <v>Shu District</v>
      </c>
    </row>
    <row r="211" spans="1:14" x14ac:dyDescent="0.25">
      <c r="A211" t="s">
        <v>210</v>
      </c>
      <c r="D211" t="str">
        <f t="shared" si="12"/>
        <v>Z03</v>
      </c>
      <c r="E211" t="str">
        <f t="shared" si="13"/>
        <v>Saryarkinskiy</v>
      </c>
      <c r="J211" t="s">
        <v>422</v>
      </c>
      <c r="M211" t="str">
        <f t="shared" si="14"/>
        <v>T08</v>
      </c>
      <c r="N211" t="str">
        <f t="shared" si="15"/>
        <v>Kordai District</v>
      </c>
    </row>
    <row r="212" spans="1:14" x14ac:dyDescent="0.25">
      <c r="A212" t="s">
        <v>211</v>
      </c>
      <c r="D212" t="str">
        <f t="shared" si="12"/>
        <v>Z04</v>
      </c>
      <c r="E212" t="str">
        <f t="shared" si="13"/>
        <v>Baykonur</v>
      </c>
      <c r="J212" t="s">
        <v>423</v>
      </c>
      <c r="M212" t="str">
        <f t="shared" si="14"/>
        <v>T09</v>
      </c>
      <c r="N212" t="str">
        <f t="shared" si="15"/>
        <v>Zhambyl District</v>
      </c>
    </row>
    <row r="213" spans="1:14" x14ac:dyDescent="0.25">
      <c r="J213" t="s">
        <v>424</v>
      </c>
      <c r="M213" t="str">
        <f t="shared" si="14"/>
        <v>T10</v>
      </c>
      <c r="N213" t="str">
        <f t="shared" si="15"/>
        <v>Zhualy District</v>
      </c>
    </row>
    <row r="214" spans="1:14" x14ac:dyDescent="0.25">
      <c r="J214" t="s">
        <v>425</v>
      </c>
      <c r="M214" t="str">
        <f t="shared" si="14"/>
        <v>T11</v>
      </c>
      <c r="N214" t="str">
        <f t="shared" si="15"/>
        <v>Taraz. Aulieata Dist</v>
      </c>
    </row>
    <row r="215" spans="1:14" x14ac:dyDescent="0.25">
      <c r="J215" t="s">
        <v>426</v>
      </c>
      <c r="M215" t="str">
        <f t="shared" si="14"/>
        <v>T12</v>
      </c>
      <c r="N215" t="str">
        <f t="shared" si="15"/>
        <v xml:space="preserve">Taraz. Zhibek Zholy </v>
      </c>
    </row>
    <row r="216" spans="1:14" x14ac:dyDescent="0.25">
      <c r="J216" t="s">
        <v>427</v>
      </c>
      <c r="M216" t="str">
        <f t="shared" si="14"/>
        <v>V01</v>
      </c>
      <c r="N216" t="str">
        <f t="shared" si="15"/>
        <v>Aksu District</v>
      </c>
    </row>
    <row r="217" spans="1:14" x14ac:dyDescent="0.25">
      <c r="J217" t="s">
        <v>428</v>
      </c>
      <c r="M217" t="str">
        <f t="shared" si="14"/>
        <v>V02</v>
      </c>
      <c r="N217" t="str">
        <f t="shared" si="15"/>
        <v>Alakol District</v>
      </c>
    </row>
    <row r="218" spans="1:14" x14ac:dyDescent="0.25">
      <c r="J218" t="s">
        <v>429</v>
      </c>
      <c r="M218" t="str">
        <f t="shared" si="14"/>
        <v>V03</v>
      </c>
      <c r="N218" t="str">
        <f t="shared" si="15"/>
        <v>Eskeldi District</v>
      </c>
    </row>
    <row r="219" spans="1:14" x14ac:dyDescent="0.25">
      <c r="J219" t="s">
        <v>430</v>
      </c>
      <c r="M219" t="str">
        <f t="shared" si="14"/>
        <v>V04</v>
      </c>
      <c r="N219" t="str">
        <f t="shared" si="15"/>
        <v>Kerbulak District</v>
      </c>
    </row>
    <row r="220" spans="1:14" x14ac:dyDescent="0.25">
      <c r="J220" t="s">
        <v>431</v>
      </c>
      <c r="M220" t="str">
        <f t="shared" si="14"/>
        <v>V05</v>
      </c>
      <c r="N220" t="str">
        <f t="shared" si="15"/>
        <v>Koksu District</v>
      </c>
    </row>
    <row r="221" spans="1:14" x14ac:dyDescent="0.25">
      <c r="J221" t="s">
        <v>432</v>
      </c>
      <c r="M221" t="str">
        <f t="shared" si="14"/>
        <v>V06</v>
      </c>
      <c r="N221" t="str">
        <f t="shared" si="15"/>
        <v>Karatal District</v>
      </c>
    </row>
    <row r="222" spans="1:14" x14ac:dyDescent="0.25">
      <c r="J222" t="s">
        <v>433</v>
      </c>
      <c r="M222" t="str">
        <f t="shared" si="14"/>
        <v>V07</v>
      </c>
      <c r="N222" t="str">
        <f t="shared" si="15"/>
        <v>Panfilov District</v>
      </c>
    </row>
    <row r="223" spans="1:14" x14ac:dyDescent="0.25">
      <c r="J223" t="s">
        <v>434</v>
      </c>
      <c r="M223" t="str">
        <f t="shared" si="14"/>
        <v>V08</v>
      </c>
      <c r="N223" t="str">
        <f t="shared" si="15"/>
        <v>Sarkan District</v>
      </c>
    </row>
    <row r="224" spans="1:14" x14ac:dyDescent="0.25">
      <c r="J224" t="s">
        <v>435</v>
      </c>
      <c r="M224" t="str">
        <f t="shared" si="14"/>
        <v>V09</v>
      </c>
      <c r="N224" t="str">
        <f t="shared" si="15"/>
        <v>Taldykorgan City Adm</v>
      </c>
    </row>
    <row r="225" spans="10:14" x14ac:dyDescent="0.25">
      <c r="J225" t="s">
        <v>436</v>
      </c>
      <c r="M225" t="str">
        <f t="shared" si="14"/>
        <v>V10</v>
      </c>
      <c r="N225" t="str">
        <f t="shared" si="15"/>
        <v>Tekeli City Administ</v>
      </c>
    </row>
    <row r="226" spans="10:14" x14ac:dyDescent="0.25">
      <c r="J226" t="s">
        <v>437</v>
      </c>
      <c r="M226" t="str">
        <f t="shared" si="14"/>
        <v>Z01</v>
      </c>
      <c r="N226" t="str">
        <f t="shared" si="15"/>
        <v>Astana. Almaty Distr</v>
      </c>
    </row>
    <row r="227" spans="10:14" x14ac:dyDescent="0.25">
      <c r="J227" t="s">
        <v>438</v>
      </c>
      <c r="M227" t="str">
        <f t="shared" si="14"/>
        <v>Z02</v>
      </c>
      <c r="N227" t="str">
        <f t="shared" si="15"/>
        <v>Astana. Esil Distric</v>
      </c>
    </row>
    <row r="228" spans="10:14" x14ac:dyDescent="0.25">
      <c r="J228" t="s">
        <v>439</v>
      </c>
      <c r="M228" t="str">
        <f t="shared" si="14"/>
        <v>Z03</v>
      </c>
      <c r="N228" t="str">
        <f t="shared" si="15"/>
        <v>Astana. Saryarka Dis</v>
      </c>
    </row>
    <row r="229" spans="10:14" x14ac:dyDescent="0.25">
      <c r="J229" t="s">
        <v>440</v>
      </c>
      <c r="M229" t="str">
        <f t="shared" si="14"/>
        <v>Z04</v>
      </c>
      <c r="N229" t="str">
        <f t="shared" si="15"/>
        <v>Astana. Baikonur Dis</v>
      </c>
    </row>
    <row r="230" spans="10:14" x14ac:dyDescent="0.25">
      <c r="J230" t="s">
        <v>441</v>
      </c>
      <c r="M230" t="str">
        <f t="shared" si="14"/>
        <v>Z05</v>
      </c>
      <c r="N230" t="str">
        <f t="shared" si="15"/>
        <v>Astana. Nura Distric</v>
      </c>
    </row>
    <row r="231" spans="10:14" x14ac:dyDescent="0.25">
      <c r="J231" t="s">
        <v>442</v>
      </c>
      <c r="M231" t="str">
        <f t="shared" si="14"/>
        <v>Z06</v>
      </c>
      <c r="N231" t="str">
        <f t="shared" si="15"/>
        <v>Astana. Sarayshyk Di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Blad1</vt:lpstr>
      <vt:lpstr>Orig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 Ekelund</dc:creator>
  <cp:lastModifiedBy>Björn Ekelund</cp:lastModifiedBy>
  <dcterms:created xsi:type="dcterms:W3CDTF">2026-05-02T03:51:51Z</dcterms:created>
  <dcterms:modified xsi:type="dcterms:W3CDTF">2026-05-02T05:18:09Z</dcterms:modified>
</cp:coreProperties>
</file>